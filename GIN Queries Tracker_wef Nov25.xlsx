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namedSheetViews/namedSheetView1.xml" ContentType="application/vnd.ms-excel.namedsheetviews+xml"/>
  <Override PartName="/xl/threadedComments/threadedComment1.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iami\OneDrive\Desktop\3.Analytics\AI Bootcamp 2026\assignment\"/>
    </mc:Choice>
  </mc:AlternateContent>
  <bookViews>
    <workbookView xWindow="0" yWindow="0" windowWidth="19200" windowHeight="6890" activeTab="1"/>
  </bookViews>
  <sheets>
    <sheet name="Tracker" sheetId="1" r:id="rId1"/>
    <sheet name="Responded" sheetId="11" r:id="rId2"/>
    <sheet name="Sheet1" sheetId="10" state="hidden" r:id="rId3"/>
    <sheet name="List" sheetId="2" r:id="rId4"/>
    <sheet name="KIV" sheetId="3" state="hidden" r:id="rId5"/>
    <sheet name="Read me" sheetId="9" state="hidden" r:id="rId6"/>
    <sheet name="Feedback" sheetId="8" state="hidden" r:id="rId7"/>
  </sheets>
  <definedNames>
    <definedName name="_Hlk155627540">Tracker!$S$42</definedName>
    <definedName name="Assignee" localSheetId="4">AssigneeTable[Assignee]</definedName>
    <definedName name="Assignee">AssigneeTable[Assignee]</definedName>
    <definedName name="Category" localSheetId="4">CategoryTable[Category]</definedName>
    <definedName name="Category">CategoryTable[Category]</definedName>
    <definedName name="Channel" localSheetId="4">ChannelTable[Channel]</definedName>
    <definedName name="Channel">ChannelTable[Channel]</definedName>
    <definedName name="Group" localSheetId="4">GroupTable[Group]</definedName>
    <definedName name="Group">GroupTable[Group]</definedName>
    <definedName name="Status" localSheetId="4">StatusTable[Status]</definedName>
    <definedName name="Status">StatusTable[Status]</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8" i="1" l="1"/>
  <c r="P76" i="1" l="1"/>
  <c r="O76" i="1"/>
  <c r="N76" i="1"/>
  <c r="A76" i="1"/>
  <c r="A96" i="1"/>
  <c r="N96" i="1"/>
  <c r="O96" i="1"/>
  <c r="P96" i="1"/>
  <c r="A97" i="1"/>
  <c r="N97" i="1"/>
  <c r="O97" i="1"/>
  <c r="P97" i="1"/>
  <c r="A98" i="1"/>
  <c r="N98" i="1"/>
  <c r="O98" i="1"/>
  <c r="P98" i="1"/>
  <c r="A99" i="1"/>
  <c r="N99" i="1"/>
  <c r="O99" i="1"/>
  <c r="P99" i="1"/>
  <c r="A100" i="1"/>
  <c r="N100" i="1"/>
  <c r="O100" i="1"/>
  <c r="P100" i="1"/>
  <c r="A101" i="1"/>
  <c r="N101" i="1"/>
  <c r="O101" i="1"/>
  <c r="P101" i="1"/>
  <c r="A102" i="1"/>
  <c r="N102" i="1"/>
  <c r="O102" i="1"/>
  <c r="P102" i="1"/>
  <c r="A64" i="1" l="1"/>
  <c r="N64" i="1"/>
  <c r="O64" i="1"/>
  <c r="P64" i="1"/>
  <c r="A65" i="1"/>
  <c r="N65" i="1"/>
  <c r="O65" i="1"/>
  <c r="P65" i="1"/>
  <c r="A66" i="1"/>
  <c r="N66" i="1"/>
  <c r="O66" i="1"/>
  <c r="P66" i="1"/>
  <c r="A67" i="1"/>
  <c r="N67" i="1"/>
  <c r="O67" i="1"/>
  <c r="P67" i="1"/>
  <c r="A68" i="1"/>
  <c r="N68" i="1"/>
  <c r="O68" i="1"/>
  <c r="P68" i="1"/>
  <c r="A69" i="1"/>
  <c r="N69" i="1"/>
  <c r="O69" i="1"/>
  <c r="P69" i="1"/>
  <c r="A70" i="1"/>
  <c r="N70" i="1"/>
  <c r="O70" i="1"/>
  <c r="P70" i="1"/>
  <c r="A71" i="1"/>
  <c r="N71" i="1"/>
  <c r="O71" i="1"/>
  <c r="P71" i="1"/>
  <c r="A72" i="1"/>
  <c r="N72" i="1"/>
  <c r="O72" i="1"/>
  <c r="P72" i="1"/>
  <c r="A73" i="1"/>
  <c r="N73" i="1"/>
  <c r="O73" i="1"/>
  <c r="P73" i="1"/>
  <c r="A74" i="1"/>
  <c r="N74" i="1"/>
  <c r="O74" i="1"/>
  <c r="P74" i="1"/>
  <c r="A75" i="1"/>
  <c r="N75" i="1"/>
  <c r="O75" i="1"/>
  <c r="P75" i="1"/>
  <c r="A77" i="1"/>
  <c r="N77" i="1"/>
  <c r="O77" i="1"/>
  <c r="P77" i="1"/>
  <c r="A78" i="1"/>
  <c r="N78" i="1"/>
  <c r="O78" i="1"/>
  <c r="P78" i="1"/>
  <c r="A79" i="1"/>
  <c r="N79" i="1"/>
  <c r="O79" i="1"/>
  <c r="P79" i="1"/>
  <c r="A80" i="1"/>
  <c r="N80" i="1"/>
  <c r="O80" i="1"/>
  <c r="P80" i="1"/>
  <c r="A81" i="1"/>
  <c r="N81" i="1"/>
  <c r="O81" i="1"/>
  <c r="P81" i="1"/>
  <c r="A82" i="1"/>
  <c r="N82" i="1"/>
  <c r="O82" i="1"/>
  <c r="P82" i="1"/>
  <c r="A83" i="1"/>
  <c r="N83" i="1"/>
  <c r="O83" i="1"/>
  <c r="P83" i="1"/>
  <c r="A84" i="1"/>
  <c r="N84" i="1"/>
  <c r="O84" i="1"/>
  <c r="P84" i="1"/>
  <c r="A85" i="1"/>
  <c r="N85" i="1"/>
  <c r="O85" i="1"/>
  <c r="P85" i="1"/>
  <c r="A86" i="1"/>
  <c r="N86" i="1"/>
  <c r="O86" i="1"/>
  <c r="P86" i="1"/>
  <c r="A87" i="1"/>
  <c r="N87" i="1"/>
  <c r="O87" i="1"/>
  <c r="P87" i="1"/>
  <c r="A88" i="1"/>
  <c r="N88" i="1"/>
  <c r="O88" i="1"/>
  <c r="P88" i="1"/>
  <c r="A89" i="1"/>
  <c r="N89" i="1"/>
  <c r="O89" i="1"/>
  <c r="P89" i="1"/>
  <c r="A90" i="1"/>
  <c r="N90" i="1"/>
  <c r="O90" i="1"/>
  <c r="P90" i="1"/>
  <c r="A91" i="1"/>
  <c r="N91" i="1"/>
  <c r="O91" i="1"/>
  <c r="P91" i="1"/>
  <c r="A92" i="1"/>
  <c r="N92" i="1"/>
  <c r="O92" i="1"/>
  <c r="P92" i="1"/>
  <c r="A93" i="1"/>
  <c r="N93" i="1"/>
  <c r="O93" i="1"/>
  <c r="P93" i="1"/>
  <c r="A94" i="1"/>
  <c r="N94" i="1"/>
  <c r="O94" i="1"/>
  <c r="P94" i="1"/>
  <c r="A95" i="1"/>
  <c r="N95" i="1"/>
  <c r="O95" i="1"/>
  <c r="P95" i="1"/>
  <c r="A57" i="1" l="1"/>
  <c r="N57" i="1"/>
  <c r="O57" i="1"/>
  <c r="P57" i="1"/>
  <c r="A58" i="1"/>
  <c r="N58" i="1"/>
  <c r="O58" i="1"/>
  <c r="P58" i="1"/>
  <c r="A59" i="1"/>
  <c r="N59" i="1"/>
  <c r="O59" i="1"/>
  <c r="P59" i="1"/>
  <c r="A60" i="1"/>
  <c r="N60" i="1"/>
  <c r="O60" i="1"/>
  <c r="P60" i="1"/>
  <c r="A61" i="1"/>
  <c r="N61" i="1"/>
  <c r="O61" i="1"/>
  <c r="P61" i="1"/>
  <c r="A62" i="1"/>
  <c r="N62" i="1"/>
  <c r="O62" i="1"/>
  <c r="P62" i="1"/>
  <c r="A63" i="1"/>
  <c r="N63" i="1"/>
  <c r="O63" i="1"/>
  <c r="P63" i="1"/>
  <c r="A47" i="1" l="1"/>
  <c r="N47" i="1"/>
  <c r="O47" i="1"/>
  <c r="P47" i="1"/>
  <c r="A48" i="1"/>
  <c r="N48" i="1"/>
  <c r="O48" i="1"/>
  <c r="P48" i="1"/>
  <c r="A49" i="1"/>
  <c r="N49" i="1"/>
  <c r="O49" i="1"/>
  <c r="P49" i="1"/>
  <c r="A50" i="1"/>
  <c r="N50" i="1"/>
  <c r="O50" i="1"/>
  <c r="P50" i="1"/>
  <c r="A51" i="1"/>
  <c r="N51" i="1"/>
  <c r="O51" i="1"/>
  <c r="P51" i="1"/>
  <c r="A52" i="1"/>
  <c r="N52" i="1"/>
  <c r="O52" i="1"/>
  <c r="P52" i="1"/>
  <c r="A53" i="1"/>
  <c r="N53" i="1"/>
  <c r="O53" i="1"/>
  <c r="P53" i="1"/>
  <c r="A54" i="1"/>
  <c r="N54" i="1"/>
  <c r="O54" i="1"/>
  <c r="P54" i="1"/>
  <c r="A55" i="1"/>
  <c r="N55" i="1"/>
  <c r="O55" i="1"/>
  <c r="P55" i="1"/>
  <c r="A56" i="1"/>
  <c r="N56" i="1"/>
  <c r="O56" i="1"/>
  <c r="P56" i="1"/>
  <c r="P28" i="1"/>
  <c r="O28" i="1"/>
  <c r="N28" i="1"/>
  <c r="A28" i="1"/>
  <c r="A34" i="1"/>
  <c r="N34" i="1"/>
  <c r="O34" i="1"/>
  <c r="P34" i="1"/>
  <c r="A35" i="1"/>
  <c r="N35" i="1"/>
  <c r="O35" i="1"/>
  <c r="P35" i="1"/>
  <c r="A36" i="1"/>
  <c r="N36" i="1"/>
  <c r="O36" i="1"/>
  <c r="P36" i="1"/>
  <c r="A37" i="1"/>
  <c r="N37" i="1"/>
  <c r="O37" i="1"/>
  <c r="P37" i="1"/>
  <c r="A38" i="1"/>
  <c r="N38" i="1"/>
  <c r="O38" i="1"/>
  <c r="P38" i="1"/>
  <c r="A39" i="1"/>
  <c r="N39" i="1"/>
  <c r="O39" i="1"/>
  <c r="P39" i="1"/>
  <c r="A40" i="1"/>
  <c r="N40" i="1"/>
  <c r="O40" i="1"/>
  <c r="P40" i="1"/>
  <c r="A41" i="1"/>
  <c r="N41" i="1"/>
  <c r="O41" i="1"/>
  <c r="P41" i="1"/>
  <c r="A42" i="1"/>
  <c r="N42" i="1"/>
  <c r="O42" i="1"/>
  <c r="P42" i="1"/>
  <c r="A43" i="1"/>
  <c r="N43" i="1"/>
  <c r="O43" i="1"/>
  <c r="P43" i="1"/>
  <c r="A44" i="1"/>
  <c r="N44" i="1"/>
  <c r="O44" i="1"/>
  <c r="P44" i="1"/>
  <c r="A45" i="1"/>
  <c r="N45" i="1"/>
  <c r="O45" i="1"/>
  <c r="P45" i="1"/>
  <c r="A46" i="1"/>
  <c r="N46" i="1"/>
  <c r="O46" i="1"/>
  <c r="P46" i="1"/>
  <c r="P25" i="1"/>
  <c r="O25" i="1"/>
  <c r="N25" i="1"/>
  <c r="N26" i="1"/>
  <c r="O26" i="1"/>
  <c r="P26" i="1"/>
  <c r="P17" i="1"/>
  <c r="O17" i="1"/>
  <c r="N17" i="1"/>
  <c r="P3" i="3"/>
  <c r="O3" i="3"/>
  <c r="N3" i="3"/>
  <c r="P35" i="3"/>
  <c r="O35" i="3"/>
  <c r="N35" i="3"/>
  <c r="A35" i="3"/>
  <c r="P34" i="3"/>
  <c r="O34" i="3"/>
  <c r="N34" i="3"/>
  <c r="A34" i="3"/>
  <c r="P33" i="3"/>
  <c r="O33" i="3"/>
  <c r="N33" i="3"/>
  <c r="A33" i="3"/>
  <c r="P32" i="3"/>
  <c r="O32" i="3"/>
  <c r="N32" i="3"/>
  <c r="A32" i="3"/>
  <c r="P31" i="3"/>
  <c r="O31" i="3"/>
  <c r="N31" i="3"/>
  <c r="A31" i="3"/>
  <c r="P30" i="3"/>
  <c r="O30" i="3"/>
  <c r="N30" i="3"/>
  <c r="A30" i="3"/>
  <c r="P29" i="3"/>
  <c r="O29" i="3"/>
  <c r="N29" i="3"/>
  <c r="A29" i="3"/>
  <c r="P28" i="3"/>
  <c r="O28" i="3"/>
  <c r="N28" i="3"/>
  <c r="A28" i="3"/>
  <c r="P27" i="3"/>
  <c r="O27" i="3"/>
  <c r="N27" i="3"/>
  <c r="A27" i="3"/>
  <c r="P26" i="3"/>
  <c r="O26" i="3"/>
  <c r="N26" i="3"/>
  <c r="A26" i="3"/>
  <c r="P25" i="3"/>
  <c r="O25" i="3"/>
  <c r="N25" i="3"/>
  <c r="A25" i="3"/>
  <c r="P24" i="3"/>
  <c r="O24" i="3"/>
  <c r="N24" i="3"/>
  <c r="A24" i="3"/>
  <c r="P23" i="3"/>
  <c r="O23" i="3"/>
  <c r="N23" i="3"/>
  <c r="A23" i="3"/>
  <c r="P22" i="3"/>
  <c r="O22" i="3"/>
  <c r="N22" i="3"/>
  <c r="A22" i="3"/>
  <c r="P21" i="3"/>
  <c r="O21" i="3"/>
  <c r="N21" i="3"/>
  <c r="A21" i="3"/>
  <c r="P20" i="3"/>
  <c r="O20" i="3"/>
  <c r="N20" i="3"/>
  <c r="A20" i="3"/>
  <c r="P19" i="3"/>
  <c r="O19" i="3"/>
  <c r="N19" i="3"/>
  <c r="A19" i="3"/>
  <c r="P18" i="3"/>
  <c r="O18" i="3"/>
  <c r="N18" i="3"/>
  <c r="A18" i="3"/>
  <c r="A17" i="3"/>
  <c r="A16" i="3"/>
  <c r="A15" i="3"/>
  <c r="A14" i="3"/>
  <c r="A13" i="3"/>
  <c r="A12" i="3"/>
  <c r="A11" i="3"/>
  <c r="A10" i="3"/>
  <c r="A9" i="3"/>
  <c r="A8" i="3"/>
  <c r="A7" i="3"/>
  <c r="A6" i="3"/>
  <c r="A5" i="3"/>
  <c r="A4" i="3"/>
  <c r="A3" i="3"/>
  <c r="A22" i="1"/>
  <c r="N22" i="1"/>
  <c r="O22" i="1"/>
  <c r="P22" i="1"/>
  <c r="A23" i="1"/>
  <c r="N23" i="1"/>
  <c r="O23" i="1"/>
  <c r="P23" i="1"/>
  <c r="A24" i="1"/>
  <c r="N24" i="1"/>
  <c r="O24" i="1"/>
  <c r="P24" i="1"/>
  <c r="A25" i="1"/>
  <c r="A26" i="1"/>
  <c r="A27" i="1"/>
  <c r="N27" i="1"/>
  <c r="O27" i="1"/>
  <c r="P27" i="1"/>
  <c r="A29" i="1"/>
  <c r="N29" i="1"/>
  <c r="O29" i="1"/>
  <c r="P29" i="1"/>
  <c r="A30" i="1"/>
  <c r="N30" i="1"/>
  <c r="O30" i="1"/>
  <c r="P30" i="1"/>
  <c r="A31" i="1"/>
  <c r="N31" i="1"/>
  <c r="O31" i="1"/>
  <c r="P31" i="1"/>
  <c r="A32" i="1"/>
  <c r="N32" i="1"/>
  <c r="O32" i="1"/>
  <c r="P32" i="1"/>
  <c r="A33" i="1"/>
  <c r="N33" i="1"/>
  <c r="O33" i="1"/>
  <c r="P33" i="1"/>
  <c r="P3" i="1"/>
  <c r="P4" i="1"/>
  <c r="P5" i="1"/>
  <c r="P6" i="1"/>
  <c r="P7" i="1"/>
  <c r="P8" i="1"/>
  <c r="P9" i="1"/>
  <c r="P10" i="1"/>
  <c r="P11" i="1"/>
  <c r="P12" i="1"/>
  <c r="P13" i="1"/>
  <c r="P14" i="1"/>
  <c r="P15" i="1"/>
  <c r="P16" i="1"/>
  <c r="P18" i="1"/>
  <c r="P19" i="1"/>
  <c r="P20" i="1"/>
  <c r="P21" i="1"/>
  <c r="N4" i="1"/>
  <c r="N5" i="1"/>
  <c r="N6" i="1"/>
  <c r="N7" i="1"/>
  <c r="N8" i="1"/>
  <c r="N9" i="1"/>
  <c r="N10" i="1"/>
  <c r="N11" i="1"/>
  <c r="N12" i="1"/>
  <c r="N13" i="1"/>
  <c r="N14" i="1"/>
  <c r="N15" i="1"/>
  <c r="N16" i="1"/>
  <c r="N18" i="1"/>
  <c r="N19" i="1"/>
  <c r="N20" i="1"/>
  <c r="N21" i="1"/>
  <c r="O4" i="1"/>
  <c r="O5" i="1"/>
  <c r="O6" i="1"/>
  <c r="O7" i="1"/>
  <c r="O8" i="1"/>
  <c r="O9" i="1"/>
  <c r="O10" i="1"/>
  <c r="O11" i="1"/>
  <c r="O12" i="1"/>
  <c r="O13" i="1"/>
  <c r="O14" i="1"/>
  <c r="O15" i="1"/>
  <c r="O16" i="1"/>
  <c r="O18" i="1"/>
  <c r="O19" i="1"/>
  <c r="O20" i="1"/>
  <c r="O21" i="1"/>
  <c r="N3" i="1"/>
  <c r="A4" i="1"/>
  <c r="A5" i="1"/>
  <c r="A6" i="1"/>
  <c r="A7" i="1"/>
  <c r="A8" i="1"/>
  <c r="A9" i="1"/>
  <c r="A10" i="1"/>
  <c r="A11" i="1"/>
  <c r="A12" i="1"/>
  <c r="A13" i="1"/>
  <c r="A14" i="1"/>
  <c r="A15" i="1"/>
  <c r="A16" i="1"/>
  <c r="A17" i="1"/>
  <c r="A18" i="1"/>
  <c r="A19" i="1"/>
  <c r="A20" i="1"/>
  <c r="A21" i="1"/>
  <c r="A3" i="1"/>
  <c r="O3" i="1"/>
</calcChain>
</file>

<file path=xl/comments1.xml><?xml version="1.0" encoding="utf-8"?>
<comments xmlns="http://schemas.openxmlformats.org/spreadsheetml/2006/main">
  <authors>
    <author>tc={CCCB09CA-DF2E-4406-905A-05379C6AFB7E}</author>
    <author>tc={587570A2-C9C9-4A8D-9C9B-9855EAF7F43D}</author>
  </authors>
  <commentList>
    <comment ref="R25"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Not sure GEN-CS double counted this on their end for feb-26 monthly stat reporting. Am checking with Sharon. In the meantime this query is added to GIN side stats.
Reply:
    Confirmed with Sharon that this is not included in CS's stats for Feb-26</t>
        </r>
      </text>
    </comment>
    <comment ref="R32"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@Choon Siang BEH (IRAS) 
Hi, I re-read the qns again. This does not seem to be a 3rd party billing arrangement scenario. Essentially, they have a separate AR and AP systems and the AP system is using the in-house enterprise solution. Thot we can direct to the the resources e.g. Technical playbook (and to IMDA, if needed). See if you are agreeable.</t>
        </r>
      </text>
    </comment>
  </commentList>
</comments>
</file>

<file path=xl/comments2.xml><?xml version="1.0" encoding="utf-8"?>
<comments xmlns="http://schemas.openxmlformats.org/spreadsheetml/2006/main">
  <authors>
    <author>tc={587570A2-C9C9-4A8D-9C9B-9855EAF7F43D}</author>
  </authors>
  <commentList>
    <comment ref="R18"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@Choon Siang BEH (IRAS) 
Hi, I re-read the qns again. This does not seem to be a 3rd party billing arrangement scenario. Essentially, they have a separate AR and AP systems and the AP system is using the in-house enterprise solution. Thot we can direct to the the resources e.g. Technical playbook (and to IMDA, if needed). See if you are agreeable.</t>
        </r>
      </text>
    </comment>
  </commentList>
</comments>
</file>

<file path=xl/comments3.xml><?xml version="1.0" encoding="utf-8"?>
<comments xmlns="http://schemas.openxmlformats.org/spreadsheetml/2006/main">
  <authors>
    <author>tc={A1D5B205-2CE9-4DB1-9CB1-E249B1FD4CB6}</author>
    <author>tc={0E46503E-71F1-4501-B6E7-EE5C4317ABD4}</author>
  </authors>
  <commentList>
    <comment ref="J1" authorId="0"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@Gerald WONG (IRAS) Suggest this column to indicate which team to follow up on the queries. 
Or is this assumed that this worksheet is assigned to IMDA?
Reply:
    Most probably will be IMDA fronting it by nature of this sheet.
We can assist to adjust the feedback status as and when as well (i.e. just open/close)</t>
        </r>
      </text>
    </comment>
    <comment ref="I10"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@Gerald WONG (IRAS)  do you want to add another column to reflect in the nature of the issue (those described in red)</t>
        </r>
      </text>
    </comment>
  </commentList>
</comments>
</file>

<file path=xl/sharedStrings.xml><?xml version="1.0" encoding="utf-8"?>
<sst xmlns="http://schemas.openxmlformats.org/spreadsheetml/2006/main" count="1464" uniqueCount="560">
  <si>
    <t>No.</t>
  </si>
  <si>
    <t>Enquirer's Organisation</t>
  </si>
  <si>
    <t>Enquirer's Name &amp; Contact</t>
  </si>
  <si>
    <t>Query Channel</t>
  </si>
  <si>
    <t>Query Topic</t>
  </si>
  <si>
    <t>Query Category</t>
  </si>
  <si>
    <t>Query Date</t>
  </si>
  <si>
    <t>Receive Date</t>
  </si>
  <si>
    <t>Query Group</t>
  </si>
  <si>
    <t>Assigned To</t>
  </si>
  <si>
    <t>Status</t>
  </si>
  <si>
    <t>Completion Date</t>
  </si>
  <si>
    <t>Mark for FAQ</t>
  </si>
  <si>
    <t>Total Turnover Days</t>
  </si>
  <si>
    <t>Actual Turnover Days</t>
  </si>
  <si>
    <t>Processing Turnover Days</t>
  </si>
  <si>
    <t>Included in Support Updates</t>
  </si>
  <si>
    <t>Actual Query</t>
  </si>
  <si>
    <t>Final Reply</t>
  </si>
  <si>
    <t>Auto</t>
  </si>
  <si>
    <t>Enter "Individual" if unclear</t>
  </si>
  <si>
    <t>Including email address if available</t>
  </si>
  <si>
    <t>Where did the query came from?</t>
  </si>
  <si>
    <t>High-level for internal reference</t>
  </si>
  <si>
    <t>Select from dropdown</t>
  </si>
  <si>
    <t>Date received by IRAS</t>
  </si>
  <si>
    <t>Date received by GIN member</t>
  </si>
  <si>
    <t>Jillian to assess</t>
  </si>
  <si>
    <t>Jillian to assign</t>
  </si>
  <si>
    <t>When "Responded", "Escalated to IMDA" or "Dropped by Taxpayer"</t>
  </si>
  <si>
    <t>Indicate Q No. to be added into FAQ</t>
  </si>
  <si>
    <t>Completion Date - Query Date</t>
  </si>
  <si>
    <t>Completion Date - Receive Date</t>
  </si>
  <si>
    <t>Receive Date - Query Date</t>
  </si>
  <si>
    <t>Indicate the month that the query is counted in the sharing with IMDA</t>
  </si>
  <si>
    <t>Detail original query</t>
  </si>
  <si>
    <t>Response to Enquirer</t>
  </si>
  <si>
    <t>CBRE</t>
  </si>
  <si>
    <t>Liu, Laura &lt;Laura.Liu@cbre.com&gt;</t>
  </si>
  <si>
    <t>Direct Email from TP (follow-up)</t>
  </si>
  <si>
    <t>B2G InvoiceNow Requirement</t>
  </si>
  <si>
    <t>Support and Assistance</t>
  </si>
  <si>
    <t>Choon Siang</t>
  </si>
  <si>
    <t>Responded</t>
  </si>
  <si>
    <t xml:space="preserve">Hi Choon Siang,
Attached pls find the e-mail we got from our e-invoice Access Point service provider, that if the invoice is sent to a government customer, additional validations are required such as buyer reference, vendor ID, etc.. 
Can you help to clarify how to identify if a customer’s invoice should apply these additional validations because the customer is a government department or agency? </t>
  </si>
  <si>
    <t xml:space="preserve">Hi Ms Laura Liu,
Based on the information provided, we understand that your query relates to the use of InvoiceNow for transmitting invoices from Businesses to Government Agencies for commercial billing purposes. As advised by Edicom, we recommend reaching out to Edicom directly for implementation support. They are best placed to guide you on how to identify whether a customer’s invoice should comply to those requirements.
We wish to clarify that the GST InvoiceNow Requirement is separate from the commercial InvoiceNow transmission requirements set by your customers. Under the GST InvoiceNow Requirement, GST-registered businesses will be required to use InvoiceNow-Ready Solutions to send invoice data to IRAS for tax administration. As mentioned, IRAS does not impose any additional validation rules based on the customer details submitted to us for GST InvoiceNow Requirement purposes. You may refer to our webpage on the GST InvoiceNow Requirement and the “Adopting GST InvoiceNow Requirement for GST-registered Businesses” e-Tax Guide for more information. </t>
  </si>
  <si>
    <t>PwC</t>
  </si>
  <si>
    <t>PwC Webinar</t>
  </si>
  <si>
    <t>Webniar / Engagement sessions</t>
  </si>
  <si>
    <t>STI Aggregation</t>
  </si>
  <si>
    <t>Scope of GST InvoiceNow Requirement</t>
  </si>
  <si>
    <t>Kenneth</t>
  </si>
  <si>
    <t>KIV</t>
  </si>
  <si>
    <t>Hi all,
Cheryl shared that at PwC webinar, PCO received queries on the following scenario:
-	Total amount payable for B2C supply (incl GST) does not exceed $1,000
-	However, the invoice issued is not STI but a regular tax invoice
-	E.g. Netflix invoices; Cheryl also cited blogshop invoices
Question is do we allow aggregation of such invoices (treat as STI) or not (treat as non-STI). There are arguments both ways:
-	Treat as STI: Low risk, ease compliance, system may not allow split between &gt;$1,000 and &lt;=$1,000 
-	Treat as non-STI: Nature of invoice is not STI, supplier had option to issue STI but didn’t (counterpoint is above where system may not always allow clean split)</t>
  </si>
  <si>
    <t>We understand that some businesses make sales where each transaction does not exceed $1,000 (including GST), but in practice , they choose to issue regular tax invoices instead of simplified tax invoices (“STI”). 
We would like to clarify that submitting aggregated invoice data only applies to point-of-sale (“POS”), STIs and petty cash purchases (“PCP”) transactions only. For all other regular tax invoices, the business should submit the data individually.</t>
  </si>
  <si>
    <t>AGD</t>
  </si>
  <si>
    <t>Joel ONG (AGD) &lt;Joel_ONG@agd.gov.sg&gt;</t>
  </si>
  <si>
    <t>IMDA</t>
  </si>
  <si>
    <t>Discounted Sale Price Scheme</t>
  </si>
  <si>
    <t>Invoicing Guidance for Common Scenarios</t>
  </si>
  <si>
    <t>DS</t>
  </si>
  <si>
    <t>Clearing with Stakeholders /DSPS issue -Further follow-up with relevant party incl CA2 /IMDA</t>
  </si>
  <si>
    <t>Hi IMDA E-invoice office,
We have one of the statutory board onboard Cumulus Financial System attempting to invoice one of its customer on the sale of a second-hand vehicle under the Discounted Sale Price Scheme and the invoice was submitted thru InvoiceNow to the customer. However, our access point provider, Sesami, informed us that the invoice has failed to be sent to the customer thru InvoiceNow as it failed the validex.
APIStatus	APIResponse	DocumentID	InvoiceNo	InvoiceTypeCode	BuyerReference	SuppPartyEndpointID	SuppPartyName	CustPartyEndpointID	CustPartyName	TotalTaxAmount	InputXMLFileName
Failed	[BR-CO-17-GST-SG]-GST category tax amount (BT-117-GST) = GST category taxable amount (BT-116-GST) x (GST category rate (BT-119-GST) / 100). | 	F3CD0F40-6AFC-4C74-A92C-4D5F6C92D759	SDC-CUI-CY2025-003702	380	C-00420544	SGUENT08GB0048K	SDC Sentosa Development Corporation	SGUEN202344706E	KIM BENG HUAT PTE. LTD.	29.70	Invoice_SDC_Sentosa_Development_Corporation_SDC-CUI-CY2025-003702.xml
Transaction information as below
Sale Price: $660
GST computed : ($660 x 9% x 50%) = $29.70
Based on the validex error message, it is validating the tax amount submitted in the invoice ($29.70) to tie back $660 X 9%, which is something not achievable under the Discounted Sale Price Scheme. Based on the e-tax guide (referenced below), it has also illustrated that the tax base should be based on the sale price, which in such case to be $660. We have also attached the XML file used for submission to InvoiceNow for reference.</t>
  </si>
  <si>
    <t>TAN CHIN LOI ASSOCIATES</t>
  </si>
  <si>
    <t>CHEN SHIN HUEY &lt;chensh@tclass.com.sg&gt;</t>
  </si>
  <si>
    <t>MTM Inbound (IRIN3 Case Management)</t>
  </si>
  <si>
    <t>Cancellation of invoice and Purchase invoice</t>
  </si>
  <si>
    <t>Transmission of Invoice Data</t>
  </si>
  <si>
    <t>Angela</t>
  </si>
  <si>
    <t>I am writing on behalf of my client to seek your advice regarding an issue they are facing with InvoiceNow.
During testing, several sales invoices were mistakenly submitted to IRAS.
The initial plan was to issue credit notes to offset these test invoices. However, another user has deleted the test invoices and as a result, we are unable to issue credit notes to the corresponding test invoices.
Could you please advise on how this issue can be resolved? For example, is there anything that can be done on your end, or are there any steps we should take on our sides?
We will ensure that no further test invoices are submitted in the future.
Another question regarding purchase invoices.
In order to avoid any further testing  issues with purchase invoices, I would like to confirm with you that when we enter a purchase invoice, the data information is submitted to IRAS after we save it in our accounting system, even though the suppliers are not on Peppol network. Will I receive an acknowledgement ID through my access point provider?</t>
  </si>
  <si>
    <t xml:space="preserve">Hi Sir, 
We refer to your query dated 10 Dec 2025 and we understand that several sales invoices were mistakenly submitted by your client to IRAS during testing. 
With reference to your representation that “another user has deleted the test invoices …”, we presume that the subject invoices were deleted by another user within your client’s company using the accounting system after submitting to IRAS. As a result, the credit note to offset the corresponding test invoices could not be issued through their accounting system. Consequently, even if the records are deleted from your client’s own accounting system, the invoice data would already have been successfully transmitted to IRAS. 
In this context, please provide the following details of the test invoices submitted to IRAS for our review purposes:
-	SenderID 
-	Invoice number
-	Invoice issue date
-	Date of submission
-	IRAS Acknowledgement ID
However, if your client deleted the internal records in their accounting system without submitting the test invoices to IRAS, the deleted internal company records would not have been transmitted to IRAS and there is no further action required by your client. 
To prevent such occurrences, please ensure that test invoices are not to be transmitted to IRAS in future submissions.
Regarding your query on the submission of purchase invoices, an acknowledgment ID from IRAS will be issued to your client through their InvoiceNow-Ready Solution when the invoice data is successfully transmitted to IRAS. This acknowledgment ID confirms that the submission has been received. 
You may wish to speak to your solution provider for more details on the submission of purchase invoices to IRAS. 
</t>
  </si>
  <si>
    <t>SAP</t>
  </si>
  <si>
    <t>Bhiboolnakrin, Chanchana</t>
  </si>
  <si>
    <t>Definition of POS</t>
  </si>
  <si>
    <t>Clearing within GIN</t>
  </si>
  <si>
    <t>KIV with SMRT's query as well</t>
  </si>
  <si>
    <t>SAP reverted with a couple more scenarios for clarification if they can be assessed to be POS  (see 2 points below). I have asked them to self-assess and aggregate accordingly before submission. 
1. Medical Bills to individual patient
2. Car park fees</t>
  </si>
  <si>
    <t>F.C.S. Trading &amp; Fishery Pte Ltd</t>
  </si>
  <si>
    <t>Teo Shaw Cheng &lt;Teo@fcfcs.com.sg&gt;</t>
  </si>
  <si>
    <t>Referral from within IRAS</t>
  </si>
  <si>
    <t>Non-sale exports made as S33(2) Agent</t>
  </si>
  <si>
    <t xml:space="preserve">Understand that being an Agent, acting on behalf of our Overseas Principal to declare cargo using our  FCS ME permits,   
FCS will still need to report all the inwards and outwards permits in GST Form F5 ( as zero rate supplies and taxable purchase). 
Would like to enquire, is there anyway we can apply for exemption to be excluded in report in form F5  as we are only acting as agent? 
This is due to the fact that,  we face issues when setting up SAP software to link with Invoice-Now requirement. 
Is there any way to apply for exemption? Or any dept you can direct us for the enquiry? </t>
  </si>
  <si>
    <t xml:space="preserve">We understand that the scenario involves the importation of your overseas principal’s goods. The goods are primarily stores to be used on ships, and you would track and deliver the goods to your related entities (ship owning entities who are also related parties) to be used as stores or fuel on the ship. If a supply is made when the goods are delivered on the ship, you would have acted as a section 33(2) agent and would be required to report these supplies as zero-rated supplies in your GST returns.
We also understand that you would generate non-sale invoices for customs clearance purposes. Your appointed IMDA-approved Access Point Provider is also not able to set up your solution such that the non-sales invoices are submitted to IRAS without affecting your financial accounts. You also do not seek payment from your overseas principal or the ship upon delivery of the goods.
In light of the above, you would like to seek approval to waive the requirement to report these zero-rated supplies in your GST returns.
Please kindly note that we are not able to accede to your request, as the existing GST obligations (including existing GST reporting requirements) will not change even with the implementation of the GST InvoiceNow Requirement. You are still required to report these exports as zero-rated supplies in your GST returns.
However, on the understanding that the non-sale invoices generated are for customs purposes and do not serve as bills for payment, these non-sale invoices are not invoice data that is required to be submitted to IRAS under the GST InvoiceNow Requirement. If there are no other sales invoices issued/to be issued, there would be no invoice data required to be submitted to IRAS for the supply made when the goods are delivered on behalf of your overseas principal.
</t>
  </si>
  <si>
    <t>GSTD</t>
  </si>
  <si>
    <t>Wendy Tan</t>
  </si>
  <si>
    <t>Internal clarification by GSTD</t>
  </si>
  <si>
    <t>Various</t>
  </si>
  <si>
    <t>Internal only, not counted</t>
  </si>
  <si>
    <t>1.	If TP makes mistakes in their submission or their invoice contains errors and they submit the data through InvoiceNow, can they redo the submission if it's before the due date? 
2.	TP receives an incorrect invoice via GST InvoiceNow (Peppol). The TP notifies the seller that the invoice is incorrect and requests a credit note. What is the correct way to handle this in regards to reporting data to IRAS? Is this the same for non-Peppol flow?
3.	For Group Reg entities, how do they all efficiently sign up for InvoiceNow?
4.	For Divisional Reg entities, how do they sign up for InvoiceNow? Also for Divisional Reg entities, how should they integrate the InvoiceNow into their daily operations? (i.e. issuing invoice by different divisions to customers)
5.	Can TP disengage from InvoiceNow if they want to deregister from GST? What is the procedure in response to this, should CS OICs encourage TPs to remain under InvoiceNow even after deregistering from GST?
6.	Ideally, can the InvoiceNow Team run through the life cycle of InvoiceNow, from registration to business operations (BAU) to deregistration? For clarity, what can TP expect to see or interface with on a daily basis?</t>
  </si>
  <si>
    <t>1.	Yes, refer to eTG para 11.6 and 11.9, for adjustments that do not affect the monetary values on the invoice, TP may resubmit the invoice data using the same Document UUID of the original invoice. Please note that resubmission is meant for changes made to non-monetary values on the invoice. For any change to the taxable value and GST amount, such adjustment should be followed up with a credit note instead of a resubmission (see eTG para 11.5).
2.	TP may choose to accept or reject the incoming invoice and subsequent credit note depending on their accounting policy and practice. TP may also refer to eTG para 11.5 and Example 15 on the options for submitting the purchase invoice data to IRAS. Ultimately, it is TP’s obligation to ensure that the correct amount is reflected in the invoice data submitted to IRAS via the solution-extracted method against their GST returns. This similarly applies for non-Peppol invoices received by TP.
3.	When sending invoice data to IRAS, the GST group can either transmit invoice data separately (as individual members of the group), or on a consolidated basis (by the representative member of the GST group) (see eTG paras 12.3-12.6). To obtain their respective Peppol ID(s) to transmit invoice data to IRAS (whether separately or on a consolidated basis), they may wish to work with a single IRSP/AP and provide them with the list of UEN(s) in the Group to be registered. 
4.	The parent entity will have to obtain a Peppol ID under its’ UEN. Refer to eTG para 11.13 for guidance on filling the MDEs for entity under divisional registration.
5.	As GST InvoiceNow Requirement currently applies to GST-registered businesses, TP will not be in scope upon deregistration from GST. However, CS OICs should still highlight to TPs that even without requiring to submit invoice data to IRAS, TPs can continue to send and receive invoices on InvoiceNow after deregistration, to reap the benefits of digitalisation in their business process. 
6.	Let us know how we can support, happy to arrange a session to run through. In the meantime, would recordings of demos by FOC solution providers be helpful for your purpose?</t>
  </si>
  <si>
    <t>Sunitha DEVI PILLAI</t>
  </si>
  <si>
    <t>Peppol ID registration</t>
  </si>
  <si>
    <t>Previouslt the peppol was set up under OCBC, we have deregistered it and port our accounts to Xero Accounting System
Unable to link Xero (accounting system) with IRAS / Corp pass
We had been in communication with Corp pass for the past month, however not able to reslove the issue
Xero has previously advise us to contact Corp pass for authorisation and recently advise to get into with IRAS for help.
We would appreciate your help if we can set up an in person appointment to relove the issue.</t>
  </si>
  <si>
    <t xml:space="preserve">Hi Sunitha,
We note that the issue raised is regarding Peppol ID registration process with Xero where TP could not be directed to CorpPass to authorise the registration and complete the process.
Kindly advise TP that it is the responsibility of their IRSP or AP, in this case Xero, to assist with the Peppol ID registration (including CorpPass authentication during this registration process). They should get Xero’s assistance to confirm that they had undertaken the correct procedure and performed all necessary pre-configuration in Xero’s solution and if necessary for Xero to bring up the matter with the relevant authority. If the matter persists after seeking Xero’s assistance and TP requires our support to escalate, they can provide us with all the relevant correspondences and screenshots. </t>
  </si>
  <si>
    <t>Handling of Invoice reversal</t>
  </si>
  <si>
    <t>Making resubmissions</t>
  </si>
  <si>
    <t>Gerald</t>
  </si>
  <si>
    <t xml:space="preserve">For instance, if we were to do an invoice reversal after we submitted the initial data to IRAS, what is the expectation of IRAS?
•	Does the change of status of the invoice from "Accepted by Tax Authority" to "Source Document Reversed" have any impact on the data provided?
•	We also noticed that an additional credit memo was created upon the reversal.
Is this the normal expectation of IRAS in terms of data receiving?
</t>
  </si>
  <si>
    <t>Where an invoice reversal is performed, we presume that you would like to make corrections or cancellations to the original invoice data submitted to IRAS (whether monetary or non-monetary).
If that is the case, as the supplier, you should issue a credit note to the customer and transmit the credit note data to IRAS via:
•	The InvoiceNow network, which constitutes a Type 1A submission of the credit note to IRAS, or
•	The Type 2 (solution-extracted) submission method, where the customer is not on the InvoiceNow network.
Refer to Paragraphs 11.1 to 11.4 of the GST InvoiceNow Requirement e-Tax Guide for more details.
Alternatively, for non-monetary changes (e.g., updating invoice notes or item names) or errors in solution-extracted invoices (e.g. Type 1B, Type 2 or Type 3 submissions) only, you may choose to issue a revised invoice to IRAS using the same Document UUID of the original invoice. IRAS will regard the last invoice or credit note submitted by the business to be the latest submission and use that record for tax administration purposes. Refer to Paragraphs 11.6 to 11.10 of the GST InvoiceNow Requirement e-Tax Guide for more details.
In your case, you may wish to check with your Access Point Provider, InvoiceNow-Ready Solution Provider or support personnel for in-house ERP solutions on the exact definition of the document statuses and the reversal process within your InvoiceNow-Ready Solution. On IRAS’ end, once an initial invoice has been successfully acknowledged (i.e. acknowledgement ID issued), any subsequent changes (whether monetary or non-monetary) should follow the steps outlined above.</t>
  </si>
  <si>
    <t>Direct Email from TP (initial)</t>
  </si>
  <si>
    <t>Clarification on Supplier's details</t>
  </si>
  <si>
    <t xml:space="preserve">Mandatory Data Elements </t>
  </si>
  <si>
    <t xml:space="preserve">1.	BCA is currently acting as Managing Agent for Ministry of National Development (MND) and as Agent for MPA.
BCA has been issuing invoices with the above-mentioned name(s) to BCA customers. The invoices bear BCA’s own Unique Entity Number (UEN) and the Government of Singapore’s GST number (for invoices issued as Managing Agent for MND) and MPA’s GST number (for invoices issued as Agent for MPA).
May we clarify for the above-mentioned scenarios can be/should be continued with GST InvoiceNow compliance coming into effect 1 Apr 2027 as it may not be aligned with what is stated in paragraph 11.13 in page 38 of GST InvoiceNow e-Tax guide.
If not, what should be the practice moving forward?
2.	Referring to GST InvoiceNow e-Tax guide page 29 paragraph 9.3, may we clarify if point (d) and (e ) is referring to Type 3 submission instead of Type 2 submission.
3.	There are some government agencies where they are operating/branding with an alias therefore can we check the legal entity data element can be populated with their alias or it should be the legal entity name registered with the GST number?
GovTech Singapore is the operating name for Government Technology Agency while SportSG is the operating name for Singapore Sports Council.
</t>
  </si>
  <si>
    <t xml:space="preserve">Our responses as follows:
1.	UEN and GSTN under GST InvoiceNow Requirement
Under GST InvoiceNow Requirement, the UEN and GSTN indicated in e-invoices should generally correspond to the supplier of the goods or services. The key consideration is identifying who the actual supplier is in each transaction. 
For instance, where BCA acts as managing agent for MND or agent for MPA, and MND/MPA remains the supplier of the goods or services, the e-invoices should reflect MND’s or MPA’s UEN and GSTN respectively. However, if BCA is the supplier to its customers (rather than merely facilitating transactions on behalf of MND/MPA as agent), then BCA’s UEN and GSTN should be used.
Based on the description provided in your email below, the current practice of using BCA's UEN whilst indicating the Government of Singapore's or MPA's GSTN appears incongruent with the general GST InvoiceNow Requirement. We recommend that BCA conducts its own assessment based on the above guidance, in consultation with the relevant entities as necessary, to determine the appropriate GST InvoiceNow Requirement compliance approach for their specific arrangements.
Should you require our further guidance following the above assessment, please provide more information on BCA’s arrangements, such as:
•	Sample invoices and relevant agency/service agreements
•	Detailed description of both agency relationships and the nature of the transactions, including the rationale for BCA issuing invoices on behalf of MND/MPA
•	Explanation of why customers are referred to as “BCA customers” in the context of these agency arrangements
•	Basis for the current practice of using BCA’s UEN with the Government of Singapore/MPA’s GSTN in the invoice
•	Which entity records the revenue from these transactions in its accounts
•	Which entity reports these transactions in its GST return 
•	Distinction between the managing agent role with MND versus the agency role with MPA
•	BCA’s assessment of the appropriate UEN and GSTN to be used for each scenario and the basis for their conclusion
2.	Paragraph 9.3 of e-Tax guide
You are correct, point (d) and (e) is referring to Type 3 submission. For internal info, we will make the correction in the next version of the e-Tax Guide.
3.	Legal entity name and alias
The Supplier Name (IBT-027) and Customer Name (IBT-044) should be populated with the legal entity name registered with the GSTN. If preferred, the alias may be populated in Invoice Note (IBT-022).
</t>
  </si>
  <si>
    <t>EY</t>
  </si>
  <si>
    <t>Tiara Himawan &lt;Tiara.Himawan@sg.ey.com&gt;</t>
  </si>
  <si>
    <t>System invoice differ from Paper Invoice</t>
  </si>
  <si>
    <t xml:space="preserve">We would like to clarify on the e-invoice submission requirements where the invoice system stores line items differently from the final invoice format issued to the customer, typically for ease of customers’ administration as well as limitations in the invoice system where the line-items totals cannot be calculated in accordance with contract terms (i.e. consolidation of multiple invoices with different GST rates into a single invoice, inclusion of additional details and further breakdown of how the line-items are computed in the final invoice issued to customer). To illustrate: 
•	Two invoices are generated in the  SAP system:
•             One for zero-rated items (Invoice no. 50000001)
•             One for standard-rated items (Invoice no.  50000002)
•	As requested and agreed with customer, the supplier is required to manually prepare one combined invoice summary in Excel, quoting /using the invoice no. 50000001, where the line item amounts would tally with additional supporting excel schedules on the calculation of the respective line items billed to customer, but not as per the invoices generated in the SAP system.
•	The company has checks to ensure the total amounts of the two SAP invoices equals the combined invoice sent to the customer.
•	Both invoices share the same contract and sales order numbers for traceability.
Based on the above, can the company choose to submit the excel invoice details (which is the actual invoice sent to customers), or should it still be the system-stored invoices?
</t>
  </si>
  <si>
    <t xml:space="preserve">Dear Ms Tiara Himawan,
We refer to our group discussion via MS Teams and our email on 23 Feb 2026, as well as your email of 5 May 2026 regarding EY’s query on whether the submission of invoice data to IRAS as part of the GST InvoiceNow requirement is to be based on the manual consolidated invoice (“MCI”) that is sent to customers, or the system-stored invoice (“SSI”) that is generated from the company’s accounting system.
For clarity purposes, the GST InvoiceNow Requirement states that invoice data required to be submitted to IRAS refers to invoices or equivalent documents that are issued to /received by the customer and serve as bills for payment.
               After reviewing the inputs provided by EY, we have no objection for the company to send the MCI to IRAS as part of the GST InvoiceNow Requirement for the following reasons:
1)	The MCI is the actual invoice that is sent to the customer.
2)	The MCI is manually prepared and contains all the details under Regulation 11 of the GST (General) Regulations.
3)    The company has implemented robust internal controls for accurate GST reporting, which includes the reconciliation of the issued MCI with the SSI invoices generated in the system, to ensure that there is no duplicate reporting of output tax.
4)    It is clear that the customer would receive only the MCI thus there is no risk of double claiming of input tax by the customer.
               Even though the company may continue the combined invoicing arrangement (i.e issuance of MCI using consolidated details of the SSI) with its customers, we would strongly recommend for the company to digitalise the MCI into a system-based electronic invoice that is integrated directly into the accounting system as this can help to reduce manual data entry and improve accuracy. 
In addition, you may wish to take note that GST-registered businesses are required to maintain all relevant supporting documents (including source documents) to substantiate their GST reporting and invoice data submissions for five years. The GST InvoiceNow Requirement does not preclude businesses from their existing GST record-keeping obligations (refer to Question 9.3 of the Frequently Asked Questions for GST InvoiceNow Requirement for more information).
The above advice is given based on the information available at this point of time. We may vary our requirements and/or impose additional requirements in future so you may wish to refer to the GST InvoiceNow Requirement webpage and IRAS’ e-Tax Guide “Adopting GST InvoiceNow Requirement for GST-registered Businesses for the latest guidance.
</t>
  </si>
  <si>
    <t>CapitaLand</t>
  </si>
  <si>
    <t>Josephine Ong - 6713 2977</t>
  </si>
  <si>
    <t>Trust registration</t>
  </si>
  <si>
    <t>Implementation</t>
  </si>
  <si>
    <t>Clearing with Stakeholders</t>
  </si>
  <si>
    <t xml:space="preserve">Hi GIN,
I would like to seek your assistance regarding the mandatory participation by businesses to adopt the GST InvoiceNow Requirement.
Starting from 1 Apr 2026, all new voluntary GST registrants will be required to adopt GST InvoiceNow Requirement. The footnote to Para 5.11 of the IRAS e-Tax Guide on Adopting GST InvoiceNow Requirement for GST-registered Businesses provides further information, indicating that IRAS is currently working with IMDA on how businesses that are not registered with ACRA can obtain a Peppol ID. 
My LTP – CapitaLand (Josephine Ong - 6713 2977), is seeking clarification on whether they will be affected by the GST InvoiceNow Requirement mandate. Let me provide you with some context to her question:
Horizon Commercial Trust (a sub-trust of CapitaLand Integrated Commercial Trust), along with UOL and another CapitaLand entity, has successfully won a tender for a mixed-use commercial and residential site at Hougang Central. Horizon Commercial Trust will be developing the retail component of the mixed-use development and is currently not registered for GST. They plan to register for GST as soon as it makes the first payment to claim back the GST incurred on part of the land used for non-residential development. 
As Horizon Commercial Trust is a trust and not registered with ACRA, it does not have a UEN. They would like to confirm that there will be no issues with their GST registration process and InvoiceNow Requirement if their application comes after 31 Mar 2026 (as this will come under voluntary GST registration).
For your reference, here’s some info on the bid: CapitaLand, UOL consortium puts in top bid of $1.5b for Hougang Central mega mixed-use project | The Straits Times
</t>
  </si>
  <si>
    <t>Invoice Data vs F5 return</t>
  </si>
  <si>
    <t xml:space="preserve">Obligations and Penalties  </t>
  </si>
  <si>
    <t xml:space="preserve">Also, I was just being informed that there were issues uploading 2 sales invoices to IRAS.
Would this issue affect the GST filing next month as the amount uploaded via InvoiceNow and the amount reporting in F5 will differ?
</t>
  </si>
  <si>
    <t xml:space="preserve">Concerning the difficulties with uploading 2 sales invoices to IRAS, you may wish to check with your InvoiceNow-Ready Solution Provider and/or Access Point Provider to help you troubleshoot the issues.   
Regarding your query about whether the issue affect the GST filing, please note that under the GST InvoiceNow Requirement, you are required to transmit the invoice data (both supplies and purchase) to IRAS by the earlier of:
(a)	The date on which the relevant GST return is filed; or 
(b)	The filing due date of the relevant GST return. 
Your invoice data submission must cover the GST return for the accounting period when the transaction took place. More information can be found in our e-Tax guide 
These requirements apply to GST-registered businesses starting with mandatory participation for: 
(a) From 1 Nov 2025, for newly incorporated companies that register for GST voluntarily. The newly incorporated companies refer to companies that are incorporated within 6 months from the time they submit their application for GST registration to IRAS. 
(b) From 1 Apr 2026, for all new voluntary GST registrants, regardless of incorporation date or business constitution.
The requirement will be progressively extended to all existing GST-registered businesses, with the implementation schedule to be announced at a later date. 
Even if invoice data submission is non-mandatory for you, we strongly encourage you to continue submitting invoice data to IRAS as this will give you ample time to resolve teething issues such as those you had highlighted to us before the mandatory requirement kicks in. 
</t>
  </si>
  <si>
    <t>TBIY2B PTE. LTD. (Datapost)</t>
  </si>
  <si>
    <t>Mrs KONG SOOH PENG &lt;soohpeng.kong@bobcobiz.com&gt;</t>
  </si>
  <si>
    <t>GST InvoiceNow FormSG</t>
  </si>
  <si>
    <t>Deactivate InvoiceNow</t>
  </si>
  <si>
    <t>Escalated to IMDA</t>
  </si>
  <si>
    <t>Hi I wanted to deactivate my invoicenow from Datapost and register it with XERO. I tried to contact datapost support since last mth but yet to receive any reply from them. I tried to call their main line but cant go through at all. May i know what shd i do?</t>
  </si>
  <si>
    <t xml:space="preserve">Hi Ging, Yazid,
Please see a query from a TP in the FormSG summary email below. Seek the team’s assistance to follow up with Datapost on this matter and to keep the IRAS team updated upon the closure of the matter.
On a side note, it might be worth considering taking a firmer stance towards Datapost. This kind of lapse is quite concerning, especially when we are striving to build a reliable ecosystem. We should ensure that such instances do not become a recurring theme.
[IMDA]
Hi Gerald,
An update on the InvoiceNow deregistration case for TBIY2B PTE. LTD. that was escalated to us.
After IMDA reached out to Datapost on 8 Jan 2026 regarding this matter, Datapost confirmed that they had promptly processed Mrs Kong's deregistration request on the same day.
Datapost investigated and identified operational lapses that had caused the prolonged delay in responding to Mrs Kong's deregistration request:
1.	The phone number displayed on their website was their corporate line rather than the dedicated e-invoice support line.
2.	Correspondence was being directed to a former employee's address, causing processing delays.
Datapost has explained these issues to Mrs Kong and provided her with the correct contact number and email address for future reference. They have also committed to implementing the necessary changes to prevent similar occurrences in the future.
We will continue to monitor this matter to ensure appropriate service standards are maintained across our ecosystem partners.
</t>
  </si>
  <si>
    <t>TAN CHIN LOI ASSOCIATES (QuickBooks / Link4)</t>
  </si>
  <si>
    <t>Regarding the difficulties encountered in uploading 2 sales invoices to IRAS, we have been contacting the Access Point Provider to troubleshoot our issue since last year.
We submitted another support queue ticket last week but have yet to receive a reply.
In the event that the Access point provider responds only after 31 Jan, when GST for the Oct – Dec 2025 period is due for the first GST submission, and we only managed to submit the invoice data for the 2 sales invoices after that date, will any penalties be imposed due to such technical issues?</t>
  </si>
  <si>
    <t xml:space="preserve">Hi Ms Chen, 
Can you share us the access point provider that you are engaging with and the correspondences in screenshots that you have made with them?
I have also copied our IMDA colleague in this email so that they can better assist you in facilitating the issue you may be facing with your access point provider. 
As we note that you are participating as an early adopter, it is not mandated to submit invoice data at this point of time. There will not be penalties imposed for late submission of invoice data. 
@Ging NG (IMDA), greatly appreciate your help to assist Ms Chen.
</t>
  </si>
  <si>
    <t>THREE BOND SINGAPORE PTE LTD</t>
  </si>
  <si>
    <t>SHARON MOO &lt;msharon@threebond.com.sg&gt;</t>
  </si>
  <si>
    <t>Getting started</t>
  </si>
  <si>
    <t>Accredited APs/ IRSPs</t>
  </si>
  <si>
    <t xml:space="preserve">Dear Sir ,
We have contacted few vendors listed on IMDA and gotten replied that they only support Microsoft D365 BC. Please advise how to get started with Invoicenow . Thank you
</t>
  </si>
  <si>
    <t xml:space="preserve">Hi Ging, Yazid,
We would like to refer an enquiry from TP on selecting an appropriate IRSP. You may refer to the screenshot below for the enquiry:
We understand that the TP is using Microsoft D365 finance &amp; Operation- a more complex system than D365 Business Central.
Hope to seek your team’s help to follow up with the TP directly at: msharon@threebond.com.sg
Seek your help to let us know when the matter has been closed with the TP as well, please. Thank you! 
[IMDA]
Hi Gerald,
Our colleague from Outreach has reached out to the user.
</t>
  </si>
  <si>
    <t>Chan Mei Mei &lt;Mei.Mei.Chan@sg.ey.com&gt;</t>
  </si>
  <si>
    <t>1. GST category codes (Ref: Annex E of the e-tax guide “Adopting GST InvoiceNow Requirement for GST-registered Businesses (First Edition)” (“eTG”))
There are situations where invoices are issued with a GST rate of 7% or 8%, for example, late billing or credit notes and reissued invoices for services rendered before 1 January 2024. Based on the IRAS eTG (see extract below) and our current understanding from our external InvoiceNow solutions development team, invoices that apply a 7% or 8% GST rate instead of 9% will trigger an error in the XML file transmitted to IRAS. As a result, the invoice data will be rejected because the system identifies the GST rate as incorrect.
Given the above, we would like to seek clarification from IRAS on whether such a limitation exists and, if so, whether it is acceptable for these invoices to be excluded from transmission to IRAS.
2. Data reconciliation (Ref: Para 12.1 of ETG)
We understand that businesses are expected to perform due diligence to ensure that invoice data submitted to IRAS aligns with what is reported in their GST returns. However, based on feedback from our external InvoiceNow solutions development team, once invoice data is transmitted to IRAS, the report generated via the InvoiceNow‑Ready Solutions does not display the invoice values submitted. Instead, the report only provides details such as transmission status, transmission date, document UUID and transmission type.
For reconciliation purposes, which IRAS recommends as part of good governance, are there guidelines on the information that should be reflected in these reports? For example, should the reports include invoice values such as taxable amounts and GST amounts to facilitate proper reconciliation? If the solution-generated reports do not contain the relevant invoice values, businesses may face challenges reconciling the transmitted invoice data against their accounting records and GST returns .
3. Implementation date of 1 November 2025 for newly incorporated entities.
We understand that the mandatory implementation of GST InvoiceNow requirement by 1 November 2025 applies to companies that register for GST voluntarily within 6 months of being incorporated (i.e., newly incorporated companies) from the time they submit the GST registration application. This requirement excludes limited liability partnerships, sole proprietorship businesses and partnership businesses. 
Please confirm the requirement mentioned above also excludes newly constituted real estate trusts / trust funds via trust deeds that are applying for GST registration on a voluntary basis. 
4. Data transmitted to IRAS - common questions being raised
i) Can IRAS share with us on how the data transmitted will be used by the IRAS to support IRAS tax administration? 
ii) We note from the FAQ on "Will I be penalised for any errors made on invoices sent to IRAS" on the IRAS website. If the errors do not result in the filing of incorrect GST returns (e.g., omission of invoice data, or incomplete transmission), would IRAS impose penalties for such errors?</t>
  </si>
  <si>
    <t>1. We confirm that neither InvoiceNow nor IRAS' system restricts transmission/submissions to the prevailing GST rate only. Invoices submitted with historical GST rates, such as 7% or 8%, are permitted.
If your external InvoiceNow solutions development team encounters XML transmission errors when submitting invoices with these historical GST rates to IRAS, please share the specific error message received and the testing XML file that generated the error with us for review and assistance. Your external InvoiceNow solutions development team may also contact IMDA for technical assistance.
2. IRAS does not prescribe specific format or content requirements for transmission/reconciliation reports in their InvoiceNow-Ready Solutions. The format and level of details included in these reports may be customised according to businesses' operational needs and reconciliation requirements.
We encourage businesses to discuss their reconciliation needs with their IRSPs, as IRSPs are best positioned to implement report enhancements that align with business requirements and internal controls.
3. Your understanding is correct. The mandatory GST InvoiceNow Requirement effective 1 November 2025, which applies to newly incorporated companies applying for voluntary GST registration, excludes newly constituted real estate investment trusts (REITs) and trust funds established via trust deeds.
Please note that whilst these entities are excluded from the 1 November 2025 timeline, they will fall under the GST InvoiceNow Requirement if they submit applications for voluntary GST registration on or after 1 April 2026.
4i. Invoice data submitted to IRAS will be used to support businesses' GST returns, including their input tax claims. This is in line with our current practice today where our officers will request for sales and purchase listings from businesses. With the implementation of the GST InvoiceNow Requirement, businesses may experience a faster refund review process and shorter audit cycle as businesses may not need to provide further supporting documents beyond the invoice data that is already transmitted to IRAS. 
ii. For voluntary GST registrants subject to the GST InvoiceNow Requirement from 1 November 2025 and 1 Apr 2026 which do not comply, their GST application may not be approved or their GST registration status may be revoked. IRAS recognises that businesses require time to adapt to the GST InvoiceNow Requirement and will be calibrated in our enforcement approach during the initial phases of onboarding. We will continue to engage businesses through outreach events and educational materials to help businesses understand the GST InvoiceNow Requirement.</t>
  </si>
  <si>
    <t>Datapost</t>
  </si>
  <si>
    <t>Mr Pragash Karuppiah &lt;pragash.karuppiah@datapost.com.sg&gt;</t>
  </si>
  <si>
    <t>Chinese Characters</t>
  </si>
  <si>
    <t>Does IRAS accept Chinese characters? One of my customer mentioned that they have send InvoiceNow to IRAS and Peppol Network. When they checked the IRAS Portal, they saw the characters were changed to "????" See attached pic.</t>
  </si>
  <si>
    <t xml:space="preserve">Confirmed with Datapost  in a call that our system is able to accept Chinese characters, they will have to make sure that their XML are properly encoded. We are assisting them with the testing. </t>
  </si>
  <si>
    <t>GST exempt scenarios</t>
  </si>
  <si>
    <t xml:space="preserve">Hi IRAS team,
The AGD Cumulus team would like to seek some clarifications on the GST exempt scenarios for our GST InvoiceNow implementation as follows:
1)	If realised forex gain/loss on foreign currency payment to suppliers is reportable as exempt supplies/purchase and/or in Box 3 or Box 5 of GST Return (F5) as would need to align this practice across agencies onboard Cumulus
2)	If bank charges are reportable as exempt supplies/purchases and/or in Box 3 or Box 5 of GST Return (F5) as this is also a scenario we would alignment across the agencies.
</t>
  </si>
  <si>
    <t xml:space="preserve">Hi Joel, 
We understand that the agency makes exempt supplies from the exchange of foreign currency with the agency’s suppliers and reports the realised forex gains/losses as exempt supplies in Box 3 of their GST returns. 
From the GST return reporting perspective, kindly note that the absolute value of net realised exchange gain/loss arising from the exchange of currency should be reported as the agency’s exempt supplies. This is so even though the transaction relates to the agency’s purchases. You may refer to para 6.3 of our e-Tax Guide “How do I prepare my GST return?” for more info. (Link: https://www.iras.gov.sg/media/docs/default-source/e-tax/etaxguide_gst_how-do-i-prepare-my-gst-return.pdf?sfvrsn=535a7393_79)  
From the GST InvoiceNow perspective, kindly note that all exempt financial services (including financial services that qualify for zero-rating) are transactions excluded from the GST InvoiceNow Requirement. As such, invoice data relating to realised gain/loss arising from the exchange of currency need not be submitted to IRAS. You may wish to refer to paras 7.1 to 7.3 of our e-Tax Guide “Adopting GST InvoiceNow Requirement for GST-registered Businesses” for more information. (Link: https://www.iras.gov.sg/media/docs/default-source/uploadedfiles/gst/etaxguide_gst_invoicenow_requirement.pdf?sfvrsn=d2828aad_25) 
We also understand that the agency has received bank charges from GST-registered banks. It is not clear to us whether the bank charges are exempt in nature, or is subject to 9% GST.
From the GST return reporting perspective, kindly note that exempt purchases are not taxable purchases and need not be reported in Box 5 of the GST return. Correspondingly, invoice data relating to exempt purchases are also not required to be transmitted to IRAS under the GST InvoiceNow Requirement.  
However, if the bank charges are subject to 9% GST, standard-rated purchases with input tax claims are reportable in Boxes 5 and 7 (assuming input tax claiming conditions are met). Correspondingly, invoice data relating to such standard-rated purchases with input tax claims must be submitted to IRAS under the GST InvoiceNow Requirement. 
To summarise, please refer to the table below: 
 	Reportable in GST return? 	Submit under GST InvoiceNow Requirement? 
Realised gains/losses arising from exchange of currency with supplier 	Yes, exempt supplies are reportable in Box 3 	No, exempt supplies of financial services are excluded 
Exempt bank charges incurred 	No, exempt purchases are not reportable 	No, all non-reportable purchases are excluded 
Bank charges with GST incurred (assuming input tax claiming conditions are met) 	Yes, standard-rated purchases with input tax claims are reportable in Boxes 5 and 7 	Yes, standard-rated purchases with input tax claims must be submitted 
</t>
  </si>
  <si>
    <t>Ze Ming</t>
  </si>
  <si>
    <t>GST treatment for freight charges</t>
  </si>
  <si>
    <t>Hi Angela,
I would like to seek your advice on GST treatment for freight charges in the following scenario:
A supplier engages a shipping company to deliver goods on their behalf. The shipping company charges the supplier $50 delivery fee plus GST.
When the supplier seeks to recover this freight cost from their customer through their invoice, which approach should they take:
1.	Charge the customer $50 without GST, or 
2.	Charge the customer $50 plus GST
Could you please advise on the correct GST treatment for this freight charge recovery? Additionally, if option 1 is the correct practice, I would need guidance on the appropriate GST code to use, as Peppol requires tax information to be included in the allowance/charge section. Can use “NA” code?</t>
  </si>
  <si>
    <t xml:space="preserve">Hi Ze Ming,
Apologies, kindly refer to this email instead.
We understand that the supplier incurred from the shipping company a $50 local delivery fee plus GST, for the purposes of the supplier’s local/export sale of goods to the customer. It is also the intention of the supplier to recover the $50 delivery cost from the customer.
The GST treatment of recovery of expenses depends on a number of factors and fact patterns. You may refer to our IRAS webpage on “recovering expenses” (URL: https://www.iras.gov.sg/taxes/goods-services-tax-(gst)/charging-gst-(output-tax)/common-scenarios---do-i-charge-gst/recovering-expenses-(re-billing)). You may also refer to our e-Tax Guide “GST: Guide on Reimbursements and Disbursement of Expenses” (URL: https://www.iras.gov.sg/media/docs/default-source/e-tax/etax-guide_guide-on-reimbursement-and-disbursement-of-expenses_2019-12-30.pdf?sfvrsn=3254880e_32) for the deeper technical details.
In gist:
1.	If the recovery of the delivery charges constitutes a disbursement, it would fall outside the scope of GST. As out-of-scope supplies need not be submitted to IRAS under the GST InvoiceNow Requirement, if the supplier wishes to submit to IRAS nevertheless, the GST Category Code will be OS. Additionally, it is the customer (not the supplier) that should claim the GST incurred on the $50 delivery fee charged by the shipping company (assuming the input tax claiming conditions are met). 
2.	If the recovery of the delivery charges constitutes a reimbursement ancillary to the supplier’s primary supply of local/export sale of goods (i.e. standard-rated/zero-rated respectively), the GST treatment would follow that of the local/export sale of goods and will also be standard/zero-rated. The GST category code will be SR/ZR. 
3.	If the recovery of the delivery charges constitutes a reimbursement separately at cost (i.e. not ancillary to any primary supply), the GST treatment of the recovery would depend on the nature of the local delivery charge, which should be standard-rated by nature. In that case, the GST category code will be SR.
For (2) and (3), the supplier may claim the GST incurred on the $50 delivery fee charged by the shipping company (assuming the input tax claiming conditions are met).
Regardless, we propose AGD or IMDA to self-assess based on the scenarios and apply appropriately.
Thank you.
</t>
  </si>
  <si>
    <t>NEU MEDIA TECHNOLOGY SG PTE LTD</t>
  </si>
  <si>
    <t>Raised by GSTD-CS</t>
  </si>
  <si>
    <t>GST General Tax Matters</t>
  </si>
  <si>
    <t>Inaccurate information by IRSP</t>
  </si>
  <si>
    <t>Feedback</t>
  </si>
  <si>
    <t>Dear Sirs,
I have received this marketing email from a vendor regarding their InvoiceNow solution and have identified misinformation therein regarding the InvoiceNow implementation dates and requirements. It is not mandatory for all GST Registered Businesses by 1 April 2026 and IRAS has not indicated this. This could cause alarm and confusion to those unsure. For your necessary follow up.</t>
  </si>
  <si>
    <t>Hi Joanne, Ging
We would like to seek your help to reach out to Neu Media Technology who is an accredited IRSP to correct the information being published. 
Pls see the feedback below and notice being communicated. 
For your immediate action, pls. 
Thanks,
[IMDA]
Thanks Angela.
We have reached out to Neu Media Technology on this matter and will keep you updated on the outcome.</t>
  </si>
  <si>
    <t>Hi Choon Siang,
On the e-invoice XML, please let us know if the following is acceptable. 
For MND, it is our intention to utilise BCA’s PEPPOL ID as MND’s PEPPOL ID is associated with NFS@Gov instead of Cumulus and utilising the MND’s PEPPOL ID might result in the IRAS Acknowledgement file and Acknowledgement ID being delivered to NFS@Gov instead.</t>
  </si>
  <si>
    <t>Sage</t>
  </si>
  <si>
    <t>Ms Evelyn Peh
&lt;Evelyn.Peh@sage.com&gt;</t>
  </si>
  <si>
    <t>OVR</t>
  </si>
  <si>
    <t>Referred to GEN-CS</t>
  </si>
  <si>
    <t xml:space="preserve">Dear Angela &amp; Kenneth,
Hope this email finds you well and Happy Lunar New Year!
I have some questions regards the OVR regime. May I ask:
1.	Is OVR applicable to remote services provided to B2C, B2B or both?
2.	If an overseas software vendor bills a Singapore customer (legal business) on software subscription and professional fee, does this overseas vendor require to sign up for OVR and charge the Singapore customer GST for both subscription and professional fee?
Question regards GST InvoiceNow. I would like to confirm:
1.	If an overseas software vendor bills a Singapore customer (legal business) for software subscription and professional fee, this vendor is not required to submit an e-Invoice to IRAS, is that correct?
Would appreciate your advice on above queries.
Thank you.
</t>
  </si>
  <si>
    <t>1. The Overseas Vendor Registration (OVR) regime is applicable for supplies made to non-GST registered customers (i.e. B2C supplies of remote services). It does not apply to supplies made to GST-registered customers (i.e. B2B remote services). Please also note that B2C in our replies refers to non-GST registered customers, including individuals and businesses that are not registered for GST.
2. Under the OVR regime, overseas businesses with an annual global turnover exceeding S$1 million and that make B2C supplies of remote services and/or low-value goods to customers in Singapore exceeding S$100,000 annually, will be required to register for GST in Singapore.
For your scenario involving an overseas software vendor billing a Singapore customer for software subscription and professional fees, the GST treatment depends on whether the Singapore customer is GST-registered. If the Singapore customer is a GST-registered business, the supplies would be considered B2B supplies and would fall outside the scope of the OVR regime. On the understanding that the overseas vendor does not make B2C supplies of remote services exceeding S$100,000, the overseas vendor would not be required to register for GST. As a non-GST registered entity, the overseas vendor should not charge GST to the Singapore customer for its supplies.
However, if the Singapore customer is not GST-registered, the supplies of subscription and professional services would be considered B2C remote supplies. In such cases, if the overseas vendor meets the registration thresholds (annual global turnover exceeding S$1 million and B2C supplies of remote services to Singapore customers exceeding S$100,000 annually), the overseas vendor would be required to register for GST under the OVR regime. Thereafter, the overseas vendor is required to charge GST on its supply of software subscription and professional fees from its effective GST registration date onwards.
3. We understand that the overseas software vendor is currently not GST-registered under any regime. If so, this vendor is not required to onboard the GST InvoiceNow Requirement. If this vendor is registered under the OVR regime, it is excluded from the GST InvoiceNow Requirement.</t>
  </si>
  <si>
    <t>KPMG Services Pte. Ltd.</t>
  </si>
  <si>
    <t>Mdm Lina Koh &lt;linakoh@kpmg.com.sg&gt;</t>
  </si>
  <si>
    <t>Determining of annual supplies for banks</t>
  </si>
  <si>
    <t xml:space="preserve">Phased implementation of the GST InvoiceNow Requirement </t>
  </si>
  <si>
    <t>We understand that the GST InvoiceNow implementation date for existing businesses depends on the annual supplies reported in the GST returns for calendar year 2025. From IRAS’ website, we note that total annual supplies refer to the total value of standard rated, zero rated, and exempt supplies made in all prescribed accounting periods in calendar year 2025.
We would like to seek clarification on how annual supplies should be determined for banks. As an administrative concession, banks are not required to report their zero rated and exempt supplies in the GST return. In addition, some banks may have limited or no fee based income that is standard rated. Therefore, if annual supplies are determined solely based on standard rated supplies (i.e., Box 1 minus Box 14: Value of Imported Services), the resulting figure may be insignificant and materially lower than S$4 million.
In this regard, we would like to seek the Comptroller’s confirmation that banks’ financial statements may be relied upon in determining whether their annual supplies exceed S$4 million for calendar year 2025.</t>
  </si>
  <si>
    <t>Interim reply 20 Mar: Hi Mdm Koh,
Thank you for reaching out to us. 
We are reviewing the matter. Given the considerations involved, more time may be required for us to review it. Please be assured that we will provide a response in due course.
Should you have any further queries in the meantime, please do not hesitate to contact us.
Thank you,</t>
  </si>
  <si>
    <t>Pro Trim (III) Hair Studio (OCBC)</t>
  </si>
  <si>
    <t>Ms Pamela Poh &lt;60250793&gt;</t>
  </si>
  <si>
    <t>Live Chat / Call Centre</t>
  </si>
  <si>
    <t>OCBC InvoiceNow Solution</t>
  </si>
  <si>
    <t>Jillian</t>
  </si>
  <si>
    <t xml:space="preserve">InvoiceNow: How to enter the POS &amp; petty cash info in OCBC invoicenow solution?
Also enquired what they should choose such as no peppol ID invoice, Peppol ID invoice and Recipient peppol ID which are  required in OCBC system. advised to check with OCBC.
TP called the OCBC hotline and was told to check with us instead.  TP thought only 1 phase of implementation in year 2031. told her to assess using the cal.
The business has called GST Helpline again on 10 Mar 2026 to enquire on the process of submitting invoice data to IRAS. From the call, we understand that the business has not applied for a Peppol ID.  </t>
  </si>
  <si>
    <t>Hi Ging, Joanne,
We received the following query from our frontline team.
Could we seek your help to reach out to OCBC/Velocity, and let them know to help assist TPs/users on these issues as we are unable to advise on their solution. 
While TP can refer to the OCBC webpage for more support, could we suggest that OCBC also provides a contact number or email address for InvoiceNow on their website so that TP can directly reach out for further assistance instead of contacting IRAS.
[IMDA]
Hi Jillian and team, 
Thanks for your feedback.
We did not impose a dedicated hotline for all our IRSPs for InvoiceNow. 
However, please be assured that we will flag this to OCBC to provide better support for their customers.
To better serve the customer, please provide us the contact name and details so that we can request OCBC to liaise back with the customer?
Hi Jillian and team,
To keep everyone updated, OCBC has requested their service team to reach out to Ms Pamela Poh.
They will look into providing refresher to their service team to ensure effective assistance to customers queries in the future.</t>
  </si>
  <si>
    <t>Singapura Finance</t>
  </si>
  <si>
    <t>Arene &lt;arene.theo@singapurafinance.com.sg&gt;</t>
  </si>
  <si>
    <t>Hire Purchase arrangement</t>
  </si>
  <si>
    <t>Clarifying with Enquirer</t>
  </si>
  <si>
    <t>Hi GIN colleagues,
Further to the earlier email thread on the Hire Purchase arrangement involving Singapura Finance (“SF”) and Activants, we would like to inform you that they have recently reached out again to seek clarification and explore possible solutions.
Both the FOC solution provider, Activants, and Singapura Finance have requested for a meeting to further discuss the matter. For your reference, the latest email correspondence is attached.
We had also given them a call last week to acknowledge their request and to better understand their queries at a high level.</t>
  </si>
  <si>
    <t>Gwynne Chan &lt;Gwynne.Chan@sg.ey.com&gt;</t>
  </si>
  <si>
    <t>Grants</t>
  </si>
  <si>
    <t>Grants and Support</t>
  </si>
  <si>
    <t xml:space="preserve">Following the recent announcement on the GST InvoiceNow implementation, we have been in discussions with our clients regarding the implementation of the InvoiceNow-ready solutions. 
Some of our clients comprise the larger businesses, and we understand they may be eligible for a grant of up to $5,000 as early adopters. To facilitate our on-going discussions with our clients, we would like to know if there are any details which could be shared at this juncture (e.g. conditions for grant eligibility, implementation timeline, expected date when official details would be released etc). 
</t>
  </si>
  <si>
    <t>Dear Gwynne, 
Thank you for reaching out. Our apologies, we are unable to share further details on the grants at this juncture. The detailed eligibility criteria and application procedures for the grants will be announced in due course. These details will be made available on the IRAS and IMDA websites once ready.
We appreciate your patience as we finalise these details. Should you have any other queries in the meantime, please feel free to reach out.</t>
  </si>
  <si>
    <t>Sender ID for Cumulus</t>
  </si>
  <si>
    <t>Technical Implementation</t>
  </si>
  <si>
    <t xml:space="preserve">Hi IMDA-IRAS team
We would like to some clarifications if the respective sender in an InvoiceNow and GST InvoiceNow transaction should possess and utilise their own PEPPOL ID.
If it is not necessary, we would like to check if it is acceptable that Cumulus were to utilise a single PEPPOL ID from one of the agencies (such as IMDA’s PEPPOL ID: 0195: SGUENT16GB0004K) to send all InvoiceNow and GST InvoiceNow transactions? 
We also have private entities onboard Cumulus, who are subsidiaries of Statutory Boards and may be GST-registered. PEPPOL ID registration for these private entities might not be practical because they do not have any systems to support e-invoices to be sent by their suppliers through the InvoiceNow. In such instance, can we make use of another PEPPOL ID (such as their parent’s PEPPOL ID) in the outbound transactions to GST InvoiceNow.
Also appreciate if IMDA can share with the Cumulus team the information on “SGUXN” PEPPOL ID.
</t>
  </si>
  <si>
    <t>Zoho Corporation Pte. Ltd</t>
  </si>
  <si>
    <t>Mr Koushik Ravikumar &lt;tax.sg@zohocorp.com&gt;</t>
  </si>
  <si>
    <t>Display Foreign VAT</t>
  </si>
  <si>
    <t xml:space="preserve">We are writing to enquire about one of our queries relating to E-invoicing in Singapore.
Illustration: 
Our entity, a GST-registered business in Singapore, primarily supplies software to domestic customers within Singapore. In addition, we also provide software services to customers in Chile (Latin America country). As per Chilean tax regulations, non-resident suppliers such as our Singapore entity are required to register for VAT in Chile and charge applicable VAT on supplies made to Chilean customers. However, it should be noted that Chilean law does not currently mandate the issuance of e-invoices for transactions with non-resident suppliers.
As per our understanding of the e-invoicing requirements in Singapore, the local entity is obligated to issue e-invoices for all transactions, including those related to the export of services. In light of this, we would like to clarify whether it is permissible for our Singapore-based entity to charge and display Chile Value Added Tax (VAT) on export invoices. 
Additionally, we would like to confirm if our Singapore e-invoicing infrastructure will supports this process of cross border tax charging on export e-invoices.
</t>
  </si>
  <si>
    <t>Dear Mr Koushik Ravikumar,
Thank you for your query and for providing the sample invoices.
Based on the information provided, we note that the supply of software services by your Singapore entity to the Chilean customer is zero-rated for Singapore GST purposes, provided that the relevant zero-rating conditions are met. Consequently, Singapore GST is charged at 0% on the transaction.
For purposes of the GST InvoiceNow Requirement, the invoice data submitted to IRAS should therefore reflect:
•	GST category code: ZR (Zero-rated supplies); and
•	GST amount: 0.00
Any Chile Value Added Tax (VAT) charged to your overseas customer arises from foreign tax obligations and is outside the scope of Singapore GST. Accordingly, the Chile VAT component should not be included in the invoice data submitted to IRAS under the GST InvoiceNow Requirement. Please also note that the relevant total amounts submitted to IRAS (e.g. IBT-115 Amount due for payment) should also be adjusted to exclude the Chile VAT component.
As such, you are required to submit such invoice data as Type 2 submission (refer to Section 6 of the e-Tax Guide for details) until such time that these transactions can be supported by Peppol (in which case then it can be sent to us as Type 1A). Additionally, Chile is not yet connected on Peppol, should the Chilean customer get connected to Peppol in the future, you may choose to send them Peppol invoices, while keeping submission to IRAS as Type 2. The inclusion of foreign tax in InvoiceNow will be considered in due course.
Kindly note that you may continue to display Chile VAT on the commercial invoice issued to your Chilean customers, where this is required under Chilean tax law. This does not affect the Singapore GST treatment described above.
We hope the above clarifies the treatment for your scenario. Please let us know if you require any further clarification.</t>
  </si>
  <si>
    <t>Business Advancement Services Pte. Ltd.</t>
  </si>
  <si>
    <t>Mrs Velda Chua &lt;vel.topform@gmail.com&gt;</t>
  </si>
  <si>
    <t>Submitting Invoice Data on behalf by Tax firms</t>
  </si>
  <si>
    <t xml:space="preserve">Hi, we are a bookkeeping firm. If our client does their sales invoicing via an Invoicing system that is InvoiceNow enabled, but the rest of their accounting (including accounting for purchases, expenses etc.) is done by our company using our in-house system, how can they and us comply with the InvoiceNow requirement? Should 2 sets of documents be sent to IRAS quarterly? - 1 for invoicing done by them, 1 for the rest of the transactions done by us?
Thank you.
</t>
  </si>
  <si>
    <t>Dear Mrs Velda Chua,
We refer to your queries via FormSG of 19 Mar 2026, our group discussions via MS Teams (with representatives from BAS, IMDA &amp; IRAS) and subsequent email correspondence of 22 May 2026 on various issues relating to GST InvoiceNow implementation / compliance.
We understand that Business Advancement Services Pte Ltd (“BAS”) (UEN 198700993C) provides accounting and auditing services and it also operates as a tax agent (TA) for bookkeeping and tax filing services. BAS’ in-house accounting system TradePac Plus Accounting software is currently not an accredited InvoiceNow solution in Singapore. Nonetheless, BAS has plans to integrate its system with the InvoiceNow network.         
During the MS Teams meeting on 22 May 2026, we discussed and agreed on the following: 
(a)	Submission of invoice data to IRAS by the TA using the client’s Peppol ID
We understand that BAS currently manages purchase invoicing on behalf of its clients, while its clients handle their own sales invoicing through their own InvoiceNow-enabled accounting system (Xero).
In response to your question on whether BAS may submit invoice data on behalf using its client’s Peppol ID, we confirm that this is permissible. We recognise that each business may have differing needs and preferences, so we encourage BAS and your client to jointly decide on the submission process that works best for both parties.
On this note, we wish to highlight that the legal responsibility for ensuring that the invoice data is submitted to IRAS lies with BAS' clients, as the GST-registered supplier or purchaser. This obligation applies even where a third party (like BAS) is engaged to operationally issue invoices, collect payment or transmit invoice data to IRAS on their behalf. BAS' clients should therefore remain mindful of their GST responsibilities and obligations when making invoicing arrangements with third parties.
(b)	Software for clients who have outsourced bookkeeping function to TA 
We would also like to share that GST-registered businesses will be required to transmit invoice data to IRAS using InvoiceNow-Ready Solutions to comply with the GST InvoiceNow requirement. This will be mandated in phases.
For your clients who do not currently own accounting software, we encourage them to start onboarding early by following the steps below:
1)	Step 1: Check if their preferred solution is listed on IMDA’s accredited InvoiceNow-Ready Solution Providers (“IRSP”) list. There are also Free-of-Charge (“FOC”) solution packages available for GST-registered businesses.
2)	Step 2: Approach their IRSP and/or IMDA-accredited Access Point Provider (“AP”) to register their business in the SG Peppol Directory with their UEN and obtain their Peppol ID.
3)	Step 3: Enable the GST InvoiceNow submission feature so that they can transmit invoices directly from their InvoiceNow-Ready Solution to IRAS. 
Grants are also available for eligible businesses to help offset operational costs.
More information on InvoiceNow and the GST InvoiceNow Requirement can be found at InvoiceNow | IMDA and IRAS | GST InvoiceNow Requirement.</t>
  </si>
  <si>
    <t>Co-working Committee</t>
  </si>
  <si>
    <t>Finance &amp; TLO</t>
  </si>
  <si>
    <t>Invoicing arrangements involving multiple parties</t>
  </si>
  <si>
    <t>1)	Invoicing arrangements involving multiple parties
We observed consolidated or intermediary invoicing arrangements, including:
-	Consolidated tax invoices issued by one supplier on behalf of multiple GST-registered entities (e.g. SP Services issuing consolidated tax invoices that include supplies made by other entities such as PUB).
Public sector billing arrangements (e.g. BCA billing on behalf of MND/MPA).
-	Self-billing arrangements, including SP Services’ self-billing for solar panel electricity exports.
-	Retailers issuing invoices and collecting payments on behalf of landlords.
The current MDEs are built with a one-to-one supplier and customer arrangement, and there is no published guidance on how the above scenarios should be submitted as invoice data to IRAS.</t>
  </si>
  <si>
    <t>[30 Mar]
[JY: DS will take the issues relating to Peppol ID framework as part of Working Committee #1 under AC Robin (to be resolved by IMDA). From our discussion, there needs to be controls if we allow other persons to issue invoice on behalf of GST-registered supplier/customer. @Angela LOH (IRAS) will help arrange the meeting with Pei Ying on the sample invoices/billing invoices and extend invite to DS.]</t>
  </si>
  <si>
    <t>Option to aggregate invoice data</t>
  </si>
  <si>
    <t>2)	Option to aggregate invoice data
Clusters have requested to allow the submission of invoice data on an aggregated basis for certain high volume ‘B2C’ (used loosely) scenarios:
-	Banking and finance B2C supplies (e.g. credit card subscriptions, finance charges).
-	For stockbroking industry, where CDP issues high volume, system generated contract notes that double up as tax invoices issued on behalf of stockbrokers (e.g. multiple trades).
-	Similar requests from Telcos (e.g. Singtel) and other businesses with voluminous B2C transactions that are not POS based (e.g. online or hotel booking systems).
From audit perspective, Clusters indicated that so long as the record keeping requirements continue to apply to the source documents, they don’t have concerns with aggregation. In particular, Telco and Utilities transactions are generally low GST risk. 
As these cases do not fall neatly within existing POS/STI/PCP arrangements, we would like to explore whether a broader framework (e.g. a separate category other than POS/STI/PCP) could be considered for such scenarios.</t>
  </si>
  <si>
    <t>[30 Mar]
[JY: Given that these are B2C transactions, we are prepared to aggregate – question is whether to expand definition of POS or have a separate category. If we have a separate category, all IRSPs will need to implement the change. @Kenneth LIN (IRAS) to check with Amy for sensing of which would work better for legis drafting.]</t>
  </si>
  <si>
    <t>Discrepancies between invoice data submissions and GST F5 returns</t>
  </si>
  <si>
    <t>Use of Invoice Data</t>
  </si>
  <si>
    <t>3)	Discrepancies between invoice data submissions and GST F5 returns
Clusters have also raised concerns that discrepancies between invoice data submissions and GST F5 returns may be flagged as non compliance, even where businesses are not genuinely non compliant. Key reasons include:
-	Timing of GST code determination: Businesses may be unable to determine at the point of invoice posting whether purchases are attributable to taxable or exempt supplies (including Reg 33 vs non Reg 33 exempt supplies). As per para 12.11 of the e Tax Guide, we do not require businesses to make subsequent adjustments to minimise compliance burden. We wanted to confirm with DS if there are any concerns with the current position, and whether there is a preferred form of purchase invoice data for DS to receive/utilise. 
-	Excluded transactions: These are reported in GST F5 returns despite there being no underlying invoices, which will skew the ratios used in the monthly non-compliance programme. As a workaround, Finance cluster suggested to have businesses with excluded transactions send aggregated invoices to account for such transactions to reduce disrepancy. If DS is agreeable to the workaround, we can seek businesses’ views/concurrence during the co-working group engagements.</t>
  </si>
  <si>
    <t>[30 Mar]
[JY: There will always be discrepancy, not just due to GST code determination or excluded transactions, e.g. time of supply issues. For excluded transactions, sending aggregated invoices has risk of gaming and is also not the source document. GIN will have another round of working-level discussions with Cluster before co-working group meeting, and will involve DS. If Cluster stills feels strongly on having the aggregated invoices, perhaps we can confine it to certain sectors only, e.g. insurance and banking.]
JL: In our FAQ, we have already acknowledged that there will be discrepancies. Some legitimate reasons that we have published are: 
(a) Timing differences – e.g. where time of supplied is triggered by payment, and invoices are issued after the filing of GST return; supplies straddling GST registration, etc 
(b) Supplies where invoices are not required – e.g. deemed supplies and Reverse Charge
(c) Purchases where input tax are not claimed or not claimed in full, e.g. input tax subject to attribution or apportionment
(d) Correcting errors in F5 instead of filing F7 
We had also indicated that businesses will not be penalised so long as they adhere to the record keeping requirements and are able to produce these records upon request to substantiate their GST reporting and invoice data submissions. For excluded transactions, in our guidance going out we did mention that such transactions are “excluded from the scope of data collection and need not be transmitted to IRAS” so it might be counter-intuitive to now ask them to submit aggregated data for Excluded transactions. Given the above, and since we agreed that the penalty for incomplete invoice data is not posted by an enforcement job, I don’t think there is any need for Clusters to be concerned about this. If we really want to implement this, then it should be applied as a blanket approach. But given how difficult it is to manage ABS, the last thing I want is to go and tell them there are more requirements that we are planning to impose on them =).</t>
  </si>
  <si>
    <t>Obligations for early adopters and Grants</t>
  </si>
  <si>
    <t>We would like to share that we are working on the GST InvoiceNow implementation for selected GST-registered EY Singapore entities, even though it is currently not mandatory. We would like to clarify whether it is acceptable to have different go-live dates for the supplies (Accounts Receivables) and purchases (Accounts Payable) transactions. For instance, would it be acceptable for invoice data related to supplies to be transmitted to IRAS starting 1 May 2026, while invoice data for purchases to be transmitted from 1 July 2026?
Additionally, could we also enquire when details regarding the grants available to GST-registered businesses—intended to support the adoption costs of InvoiceNow-ready software—is expected to be released.</t>
  </si>
  <si>
    <t>Hi Gwynne,
Thank you for your proactive approach in implementing the GST InvoiceNow Requirement for your selected entities ahead of the mandatory timeline. Early adopters like yourselves will enjoy immediate benefits from the GST InvoiceNow Requirement.
Regarding your query about having different go-live dates for supplies (Accounts Receivables) and purchases (Accounts Payable) transactions, such phased implementations are welcome so long as businesses are fully ready by their mandatory implementation date. Please be assured that there will be no penalties for partial or incomplete submissions during this early adoption period.
Further to our previous correspondence on the grants, we are working towards releasing the detailed information and expect to make an announcement in the coming months. These details will be made available on the IRAS and IMDA websites once ready.
Thank you.</t>
  </si>
  <si>
    <t>HYPEBEAST COMPANY SG PTE. LTD. (Link4)</t>
  </si>
  <si>
    <t>Yannie Lee &lt;yannie.lee@101medialab.com&gt;</t>
  </si>
  <si>
    <t xml:space="preserve">There was a case via Live Chat where the TP was advised by the IRSP (Linkfor) to contact IRAS regarding Corppass Admin to onboard to InvoiceNow network. 
Based on our understanding, every IRSP should be responsible for helping their clients to onboard InvoiceNow – that’s including guidance in registering for Peppol ID and activation of the GST InvoiceNow submission which involves Corppass. 
Pls see the details below. In the chat, our officer referred the TP to check back with the IRSP. 
Would like to seek your help to follow up with Linkfor and ask them to reach out to the TP again to see if any support is needed. 
We are just wondering if we can provide guidelines and emphasize to the IRSPs on the matters that should be handled by the IRSPs and matters that could be referred to IRAS/IMDA. 
Though we understand the service standard provided by IRSPs differ, we hope we can bring up their service delivery level to minimise inconvenience to the businesses/TPs. </t>
  </si>
  <si>
    <t>[IMDA}
Hi Angela,
Thank you for bringing this to our attention. I agree that IRSPs should be taking primary responsibility for supporting their clients through the InvoiceNow onboarding process, including Corppass-related matters. While we note that for specific Corppass matters, IRSPs may not know how to handle them directly, as per the support structure guidelines, IRSPs should know to escalate such issues to Corppass support rather than directing clients to IRAS.
For this case, we will follow up with Linkfor (TP: 202122202M, contact: Yannie Lee) to clarify the proper escalation process and support requirements for the Corppass Admin assignment, which for this case, is for the IRSP to escalate to Corppass if they themselves do not know how to answer the query.
Regarding your suggestion about providing clearer guidelines to IRSPs on their responsibilities versus matters that should be escalated to IRAS/IMDA, there is an existing support structure framework (IMDA-IRAS Support Structure for InvoiceNow V1.1) that outlines the escalation pathways. We plan to articulate these with greater clarity to provide IRSPs with better guidance on their roles when businesses raise issues.
In line with this, we are developing a more detailed guideline document that will provide IRSPs with clarity on:
•	Their primary responsibilities for client support (including Corppass guidance, Peppol ID registration support, technical onboarding assistance)
•	When and how to escalate to IRAS (tax-related matters)
•	When and how to escalate to IMDA (non-tax related technical issues)
•	When and how to escalate to Corppass (Corppass-specific issues)
•	Proper escalation procedures and communication protocols
We are currently working on this guideline document and will share it with IRAS once ready before we distribute it to the IRSPs. This should help standardise service delivery across all IRSPs and reduce unnecessary redirections for taxpayers like what happened in this case.</t>
  </si>
  <si>
    <t>Hyperwox Engineering Solutions Pte Ltd</t>
  </si>
  <si>
    <t>Shevia Low &lt;shevia.low@hyperwox.com.sg&gt;</t>
  </si>
  <si>
    <t>Could we seek your team’s advice on how to respond to the attached query regarding GST treatment for a second-hand van purchase? (We had a similar case before and didn’t finalise on the correct process)
Key Issues Raised:
•	Supplier has charged 4.5% GST on the full purchase price of a second-hand van
•	Sesami's team suggested splitting the invoice: 50% taxable at 4.5% GST, 50% non-taxable
•	User's system doesn't have the option for "taxable supplies where GST is not to be charged"
User's Specific Questions:
•	Whether the 50% taxable / 50% non-taxable split is permitted for second-hand vehicle purchases
•	If permitted, what tax code or method should be used
•	If not permitted, what is the correct GST treatment
Context:
This appears to relate to scheme for second-hand goods, but the user needs clarification on proper implementation and coding within their e-invoicing system.</t>
  </si>
  <si>
    <t>Dear Ms Shevia,
We refer to your email of 27 Mar 2026 which was sent to IMDA seeking guidance on the correct GST treatment for a second-hand commercial vehicle purchase. 
We note from your email that your supplier has charged GST at 4.5% on the full selling price of the vehicle purchase. For this purchase, you have been advised by your solution provider to split the purchase transaction made under the Discounted Sale Price Scheme (“DSPS”) into two lines where GST would be applied to 50% of the taxable purchase amount and the remaining 50% would be treated as non-taxable. 
According to paragraph 10.1 of IRAS’ eTax Guide “GST: Guide for Motor Vehicle Traders”, for DSPS transactions, the GST rate of 9% is charged at 50% of the selling price of the vehicle. In this regard, it is incorrect to charge GST at 4.5%. The other suggested workaround of splitting the transaction into two lines of “50% with GST” and “50% without GST” is also not in line with GST reporting principles as it may be misleading to suggest that only 50% of the selling price is taxable. 
Using example 14 in the eTax Guide as an illustration, the seller is to account for GST (or output tax) at 9/209 of the selling price, which is inclusive of GST, i.e. 9/209 x $25,000 = $1,076.56. For GST reporting purposes, the value of standard-rated supply (Box 1) &amp; output tax (Box 6) to be declared in seller’s GST return should be selling price less the GST, i.e. $25,000 - $1,076.56 = $23,923.44 and GST charged (on 50% of the selling price), i.e. $1,076.56, respectively. For reporting of purchase of the same used vehicle in the GST return, the buyer (GST-registered trader) is required to declare the value of taxable purchases (Box 5) &amp; input tax (Box 7) of $23,923.44 and $1,076.56, respectively. 
In line with the GST treatment set out above, the sales and purchase invoice for DSPS transactions should be submitted to IRAS as follows: 
As an interim measure, we would suggest for Hyperwox to take reference from the above DSPS example to make its purchase invoice submission to IRAS. 
IRAS is currently reviewing the DSPS submission approach for Peppol (under Type 1A submission) and will provide further guidance in due course. 
The above advice is given based on the information available at this point of time. We may vary our requirements and/or impose additional requirements in future so you may wish to refer to IRAS’ e-Tax Guide “Adopting GST InvoiceNow Requirement for GST-registered Businesses for the latest guidance.
Hope the above clarifies sufficiently. Thank you.</t>
  </si>
  <si>
    <t>Deloitte</t>
  </si>
  <si>
    <t>Ong Siew Yong &lt;sieong@deloitte.com&gt;</t>
  </si>
  <si>
    <t>Whether ATM is POS</t>
  </si>
  <si>
    <t>Please see question from Deloitte.
1.	From banks perspective, does ATM considered as POS? i.e for COE bidding, the banks via ATM charges $10 per bidding. 
Could it be also considered as simplified tax invoices (STI) if they have receipts? If it’s not GST charged, do they need to take into consideration?</t>
  </si>
  <si>
    <t xml:space="preserve">Thank you for bringing the query to our attention. We set out our preliminary views below for alignment and for your feedback to Deloitte.
1.	Whether ATMs are considered Point-of-Sale (POS) systems
ATM based charges should not be automatically considered POS transactions simply because they are machine based. It would not be appropriate to allow the same transaction to be aggregated merely because it is facilitated by a physical machine (e.g, an ATM), while disallowing aggregation if the transaction is conducted through other channels (e.g. iBanking).
In determining whether a transaction is made via a POS system, we would generally consider factors such as (non-exhaustive):
•	the nature of the transaction
•	the function fulfilled by the machine or system
•	the taxpayer’s nature of business and existing business processes
•	prevailing industry practices. 
As an ATM is primarily a banking self service channel designed to facilitate different financial or administrative transactions (e.g. withdrawals, transfers, service fees), which differs from a typical retail POS system used to sell goods or services, we would generally not treat ATM transactions as POS transactions by default for the purposes of submitting invoice data on an aggregated basis at this point.
We would suggest for the Bank to break down the distinct services facilitated by the ATM and assess, for each service, whether the relevant transactions are POS transactions, having regard to the factors outlined above and its own business processes. Where the Bank has specific queries after undertaking such an assessment, do surface them to us for clarification.
2.	Whether ATM receipts can be treated as Simplified Tax Invoices (STI)
ATM receipts may qualify as STI and be eligible for aggregation if they contain the minimum information required for an STI. The requirements are set out on our website.
Separately, we would highlight that the above applies only to transactions where GST is chargeable. Where GST is not chargeable, the transaction would generally fall outside the scope of GST InvoiceNow Requirement, and the Bank should assess this carefully. 
Turning to the scenario cited (e.g. banks charging an administrative fee via ATM for COE bidding), we understand that the supply is chargeable to GST. Accordingly, the Bank may wish to first assess whether its ATM receipts meet the STI information requirements to be eligible for aggregation. Where the STI requirements are not met, the Bank should assess whether the relevant services facilitated by ATM can be regarded as POS using the factors above as guidance. 
We hope the above is sufficient for Deloitte’s purposes. For internal info and not to be shared with Deloitte at this juncture, if the Bank comes back for further clarification, we are open to consider to considering the Bank’s case for POS treatment, either via the industry consultations (which will also involve Working Committee 1) or separate engagement between IRAS/IMDA and the Bank.
</t>
  </si>
  <si>
    <t>Perpetual (Asia) Limited (in its capacity as trustee of 60TSS1 Trust) (“60TSS1”)</t>
  </si>
  <si>
    <t>Mdm Goh Jing Yan &lt;jing.yan.goh@sg.ey.com&gt;</t>
  </si>
  <si>
    <t>On behalf of our client, 60TSS1, we are writing in to seek guidance on the registration of a Peppol ID for businesses without Unique Entity Number (“UEN”) applying for GST registration on a voluntary basis. 
We understand that with effect from 1 April 2026, all new voluntary GST registrants regardless of incorporation date or business structure are required to comply with the GST InvoiceNow Requirement. However, we understand that the Peppol ID assigned to Singapore businesses on InvoiceNow is usually based on the UEN. As 60TSS1 is not registered with the Accounting and Corporate Regulatory Authority (“ACRA”) (i.e., it is not assigned with any UEN) and does not have any tax reference number issued by the Inland Revenue Authority of Singapore (“IRAS”) to-date, 60TSS1 is currently unable to register for a Peppol ID as requested in item 51 of the online “Application for GST Registration” form. 
We understand from our conversation with the IRAS live chat agent Sharon (ticket number #467757) that 60TSS1 should submit its application for GST registration first, and concurrently submit a query via the “GST InvoiceNow Requirement Queries” FormSG to seek the IRAS’ confirmation on the next steps for 60TSS1 to obtain the Peppol ID.
The response ID of the FormSG GST registration application form submitted by 60TSS1 is 69cf4e2fed2dbf5d844b3dca. A copy of the acknowledgement page is also attached for your reference.
As 60TSS1 has applied for an advance ruling to seek the Comptroller’s concurrence that its acquisition of an industrial property in Singapore should be treated as a transfer of business as a going concern (“TOGC”), pursuant to paragraph 2 of the GST (Excluded Transactions) Order, one of the qualifying conditions to regard the transfer of the property as a TOGC is that the transferor (i.e., 60TSS1) must already be or immediately becomes a taxable person as a result of the transfer. As the intended completion date of the said acquisition is 29 April 2026, 60TSS1 respectfully seeks the IRAS’ expeditious attention on this matter so that it can be registered for GST latest by 29 April 2026.</t>
  </si>
  <si>
    <t>AI ACCOUNT PTE. LTD.</t>
  </si>
  <si>
    <t>Mr TEO SHENG KHAI &lt;info@aiaccount.com&gt;</t>
  </si>
  <si>
    <t>Check GST API</t>
  </si>
  <si>
    <t>AI Account is access point registered with IMDA. We have request the Check GST API but is pending approval. Is waited many days. Need it to build the complete function and launch the Invoicenow function.
Appreciate you can approve it.</t>
  </si>
  <si>
    <t>Hi Wallace and team, 
We have an enquiry from an Access Point provider requesting on the connectivity status of the Check GST API. See below. 
Can I seek your help to follow up and reply to Mr Teo, pls?
Meanwhile, our Customer Service Officer will send an interim reply to him.</t>
  </si>
  <si>
    <t>Billbay</t>
  </si>
  <si>
    <t>Ravi Maythil &lt;ravi.maythil@billbay.co&gt;</t>
  </si>
  <si>
    <t xml:space="preserve">Review GST InvoiceNow submissions </t>
  </si>
  <si>
    <t xml:space="preserve">We are pleased to notify the successful GST InvoiceNow Go-Live of Merit Medical Singapore as of 15 Apr 2026.
Merit Medical operates a complex IT environment, and the GST InvoiceNow was established as a direct connecton solution.
Oracle EBS R12 as the core ERP system for financial processing and record-keeping
OnBase for Accounts Payable (AP) invoice content verification and approval workflows, fully interfaced with Oracle EBS
We sincerely congratulate the Merit Medical team of: SuPei Khor, Chiunhoi Lay, Jerene Lugtu, Tan Lay Ling and several others in the background for successfully achieving this go-live within a complex and highly integrated system landscape.
At the same time,
We would also appreciate any possible support from IRAS team to review their GST InvoiceNow submissions and ensure they are in order.
As of now, approx ~1500 AR &amp; AP transactions were submitted for Q1-2026, of which 21 have had some errors.
Currently, submissions are scheduled to happen beginning of the calendar month for the previous month.
Folks, Hope all is well.
Can we have a formal channel (at IRAS) for announcing interesting GST InvoiceNow Go Live - especially for those enterprises who have undertaken a direct connectivity.
A typical project takes them about three to four months and involves a fair bit of change mgmt &amp; testing.
And usually after the golive it falls a bit flat as. they have no acknowledgement or feedback from IRAS on what they have accomplished.
An acknowledgement, feedback, or even a short period of handholding would be well received from their standpoint.
.. and potentially another company to show case as early adopter.
</t>
  </si>
  <si>
    <t>Dear Mr Ravi /Billbay,
1.           We refer to your emails of 15 Apr 2026, requesting for IRAS to provide feedback on the invoice data submissions by Merit Medical Singapore Pte Ltd (“MMSPL”) and to establish a feedback channel for businesses using in-house solutions following their go live. We greatly appreciate the proactive approach taken by you and your client, as well as the effort put in as one of the early adopters of invoice data submission to IRAS. 
2.           Regarding your request, we regret to inform that we are unable to provide you with a dedicated feedback channel for the invoice data submissions that you have made whenever your clients go-live. However, we recognise that solution providers like Billbay need feedback on their completed implementations and as such we have reached out to MMSPL on their invoice data submissions to provide feedback on our observations and the areas for improvement. We understand that MMSPL will be doing a review so you may wish to check in with them after that. 
3.           Thank you for your support towards this initiative. Should you have any questions or require further clarification, please do not hesitate to contact us.</t>
  </si>
  <si>
    <t>Building and Construction Authority</t>
  </si>
  <si>
    <t>Ngai Hui YONG (BCA) &lt;YONG_Ngai_Hui@bca.gov.sg&gt;</t>
  </si>
  <si>
    <t>Hi Choon Siang,
We would like to seek your guidance on a separate arrangement.
BCA has an Academic arm which runs Built Environment related courses and seminars to train and educate the industry. We are exploring the use of 3rd-parties to perform the collection of such fees on behalf of BCA. The envisaged process is as follows:
Step 1: Company A collects fees (inclusive GST) on behalf of BCA and issues Tax Invoice/Receipt to customer. 
Step 2: Company A tallies collections on a monthly basis and remits the total monthly collections (inclusive GST) to BCA.
Step 3: BCA accounts for the total monthly collection (inclusive GST) as a lump sum in BCA’s books via journal entries
Step 4: Company A provides BCA with a digital copy of all invoices/receipts issued during the month, corresponding to the remitted collections.
Couple of queries which we would like to seek your advice pls:
1.	When Company A issues the Tax Invoice/Receipt to customer, do the documents need to bear:
a.	BCA letterhead
b.	BCA GST Reg Number
c.	Indication that Company A is acting as an agent on behalf of BCA
2.	When BCA accounts for the total monthly collections, are there any concerns if this is picked up as a lump sum in BCA’s books and not on an invoice-by-invoice basis?
3.	Would the digital copies of the invoices/receipts issued by Company A suffice for GST record purposes?
Let me know if you need any further inputs/clarifications from us. Thank you.
--------
Hi Choon Siang,
We have received the attached clarifications from your colleague Dillan. Thank you for your help on this.
I noted that you were not copied in the reply. Just wanted to check if there are any GST InvoiceNow considerations we should take note of for the arrangement described below. Thanks.</t>
  </si>
  <si>
    <t>Hi Ngai Hui,
Thanks for your email. 
On the basis that the described transaction is in scope under the GST InvoiceNow Requirement, please note that BCA remains responsible for submitting the invoice data to IRAS, notwithstanding that Company A is acting as the billing and collection agent for BCA. Where BCA is the actual supplier, BCA’s details should be reflected as the supplier in the invoice data. This is consistent with the approach previously adviced where BCA acts as an agent for MND and MPA.
Hope this helps. Thank you.</t>
  </si>
  <si>
    <t>PERENNIAL (PARRY) AL CARE PTE. LTD.</t>
  </si>
  <si>
    <t>SOH HUI MEI</t>
  </si>
  <si>
    <t>Dear Jocelyn,
We are writing to seek clarification from the Inland Revenue Authority of Singapore regarding the application of InvoiceNow requirements to our assisted living and healthcare operations.
Our organisation operates an integrated senior care development comprising the following services:
Assisted Living facilities
Nursing Home services
Outpatient centres providing Traditional Chinese Medicine (TCM), geriatric care, and rehabilitation services
Our customers are primarily individual seniors (i.e., B2C transactions).
Currently, we utilise multiple front-end billing systems to issue tax invoices and receipts, similar to operational practices in hospitals and outpatient healthcare providers.
Transaction data from these systems is subsequently transmitted to our financial system (Microsoft Dynamics 365 Business Central) on the following basis:
Outpatient services: consolidated daily
Assisted Living &amp; Nursing Home services: consolidated monthly
In preparation for InvoiceNow implementation, we seek IRAS’ guidance on the following matters:
1. Classification of Front-End Systems
Whether our outpatient billing systems (e.g., TCM, geriatric clinic, rehabilitation services), which issue receipts/tax invoices at the point of service, may be regarded as Point-of-Sale (POS) systems for InvoiceNow purposes.
2. Treatment of Assisted Living and Nursing Home Billing Systems
Whether billing systems used for Assisted Living and Nursing Home services—where charges are typically aggregated and invoiced on a periodic (monthly) basis—can also be treated as POS systems, or if they should be classified differently under InvoiceNow requirements.
3. Aggregation of Transaction Data
Whether it is permissible to transmit transaction data to IRAS on an aggregated basis under the following scenarios:
Daily aggregation for outpatient services
Monthly aggregation for Assisted Living and Nursing Home services
In particular, we seek clarification on whether invoice-level reporting is required for Assisted Living and Nursing Home services, given that these are recurring, customer-specific billings.
We would appreciate any relevant guidance, including references to applicable e-Tax Guides or implementation requirements, to ensure that our approach aligns with IRAS expectations.
Thank you for your assistance.
Best regards,
Hui Mei</t>
  </si>
  <si>
    <t>Dear Mdm Soh Hui Mei,
Thank you for your enquiry (reproduced below) and for sharing your feedback with us.
For purposes of submitting transactions on an aggregated basis, businesses are required to assess whether their systems exhibit the characteristics of a Point-of-Sale (“POS”) system, based on their specific operational setup.
In general, systems that record and issue receipts or tax invoices at the point of provision of goods or services (e.g. outpatient billing systems) may be more akin to POS systems, subject to the overall design and functionality of the system. 
Conversely, where charges are aggregated and invoiced on a periodic basis (e.g. monthly billing arrangements for assisted living or nursing home services), such systems would generally not be regarded as POS systems, as they differ from typical retail POS systems that record transactions at the point of sale of goods or services. Only POS, simplified tax invoice (STI), and petty cash purchase (PCP) transactions are allowed to be submitted to IRAS on an aggregated basis at this juncture, under Paragraph 7.8 of the e-Tax Guide, 
We note your feedback, which will be taken into account in our ongoing policy considerations in the early stages of the GST InvoiceNow implementation.
The above reply is given based on the information available at this point of time. Should there be any updates following our review, the e Tax Guide will be revised accordingly. You may refer to the e Tax Guide published on the IRAS website for the most up-to-date guidance.
Thank you for your understanding.</t>
  </si>
  <si>
    <t>INTEGRATED CARE HOLDINGS PTE. LTD.</t>
  </si>
  <si>
    <t>Ms Goh Wee Poo</t>
  </si>
  <si>
    <t>Request to aggregate clinic invoices</t>
  </si>
  <si>
    <t>Hi Officer in charge,
This is an appeal to broaden the scenarios for aggregation of sales invoices issued to individual customers for submission to IRAS under the new invoicenow requirement.
We understand that currently, the e-tax guide for invoicenow only allows aggregation of invoices to IRAS for POS, STI &amp; petty cash purchases. The company is using a clinic software that does not interface sales invoice data to the accounting software. As the sales invoices issued by the clinic software does not qualify as POS or STI, we'll need to input all the detailed information in the individual sales invoices manually into the accounting software in order to send to IRAS.
Our understanding from the IRAS webinars that we have attended so far is that all B2C invoices can be aggregated. This is different from what we read in the e-tax guide. Can the scenarios for sales invoice aggregation be changed to include clinic invoices issued to individual patients? The number of sales invoices per month can be a lot and the information required to be input is not just the sales amount. it also includes information like drugs sold, unit price of drugs etc. We don't think IRAS's intention is to have such duplication of data input with invoicenow implementation.
Please carefully consider our request. Thank you.</t>
  </si>
  <si>
    <t> Dear Ms Goh Wee Poo,
Thank you for your enquiry below and for sharing your feedback with us. We note your feedback, which will be taken into account as part of our ongoing policy considerations in the early stages of the GST InvoiceNow implementation.
In the interim, we would like to highlight that, under Paragraph 7.8 of the e-Tax Guide, only point of sale (POS), simplified tax invoice (STI), and petty cash purchase (PCP) transactions are allowed to be submitted to IRAS on an aggregated basis at this juncture.
Should there be any changes to this position following our review, the e Tax Guide will be updated accordingly. You may refer to the e Tax Guide published on the IRAS website for the most up-to-date guidance.
Thank you for your understanding.</t>
  </si>
  <si>
    <t xml:space="preserve">Hi Choon Siang,
We would like to check back in on the Discount Sales Price scheme issue that was discussed below, referencing the 2nd edition of the e-tax guide, can we confirm on output tax, we should use tax code “NA” with rate at 9% while for input tax, we should utilise tax code “TXNA” at 9% rate. Based on IMDA TX2 document, “NA” tax code should utilise “NA” tax rate. Thus, we would like to confirm and finalise the approach for this issue by early-May. </t>
  </si>
  <si>
    <t xml:space="preserve">Hi Joel,
As you are aware, IRAS is currently reviewing the Discounted Sale Price Scheme (“DSPS”) submission approach for Peppol (under Type 1A submission) and will provide further guidance in due course.
In the interim, using example 14** in the IRAS’ e-Tax Guide “GST: Guide for Motor Vehicle Traders as an illustration, the sales and purchase invoice for DSPS transactions can be submitted to IRAS as follows: 
	Sales Invoice	Purchase Invoice
Submitted By	Supplier	Buyer
Type of Submission	Type 2 submission (Non-Peppol)	Type 3 submission (Non-Peppol)
Mandatory Data Elements (“MDEs”)		
(IBT-131) Invoice Line Net Amount 	23,923.44	23,923.44
(IBT-152) Item GST Category Rate 
	9	9
(IBT-151) Item GST Category Code 
	SR	TX
(IBT-153) Item Name	Sales of used vehicle 	Purchase of used vehicle 
(IBT 116) Subtotal GST Category Taxable Amount	23,923.44	23,923.44
(IBT-117) Subtotal GST Category GST Amount	1,076.56	1,076.56
(IBT-118) Subtotal GST Category Code	SR	TX
(IBT-119) Subtotal GST Category Rate	9	9
(IBT-109) Total Invoice Amount without GST	23,923.44	23,923.44
(IBT-110) Total GST Amount 	1,076.56	1,076.56
(IBT-112) Total Invoice Amount with GST 
	25,000.00	25,000.00
** Based on example 14, the seller is to account for GST (or output tax) at 9/209 of the selling price, which is inclusive of GST, i.e. 9/209 x $25,000 = $1,076.56. For GST reporting purposes, the value of standard-rated supply (Box 1) &amp; output tax (Box 6) to be declared in seller’s GST return should be selling price less the GST, i.e. $25,000 - $1,076.56 = $23,923.44 and GST charged (on 50% of the selling price), i.e. $1,076.56, respectively. For reporting of purchase of the same used vehicle in the GST return, the buyer (GST-registered trader) is required to declare the value of taxable purchases (Box 5) &amp; input tax (Box 7) of $23,923.44 and $1,076.56, respectively. </t>
  </si>
  <si>
    <t>SingTel</t>
  </si>
  <si>
    <t>Hong Sheng Tan &lt;hongsheng.tan@singtel.com&gt;</t>
  </si>
  <si>
    <t xml:space="preserve">[In terms of the supporting transaction details in the case of an aggregated transmission basis, does the IRAS has any prescribed format in mind (i.e., by product level or per charge/ usage) or can we rely on what is commercially available to support aggregate transmission?]
a)	For new voluntary GST registrant from 1 April 2026, if the business is not GST InvoiceNow ready at the point of application, would the application still be approved? If yes, is there any requirement to be met?
b)	On transmission of invoice data for purchase transactions, IT is of the impression that as the purchaser, no transmission is required as the invoice data has been transmitted by the supplier. Please confirm if this understanding is correct. 
c)	For collections received by the organisation through PayNow or bank transfers (e.g., payments from employees for staff pass replacement), please advise us how we should be transmitting such collections for GST InvoiceNow purposes.
d)	Please advise us how the IRAS would be checking our files and the rejection handling process (e.g. rounding difference – do we reconcile the figures with customers before transmission).
</t>
  </si>
  <si>
    <t xml:space="preserve">IRAS: While there is no prescribed format, businesses should provide an appropriate description in the Item Name field (IBT-153) that allows IRAS to sufficiently understand the aggregated line item, so as to minimise follow-up queries from IRAS.
Using your MT-POS system as an example, an appropriate description could be: “POS - Mobile handsets and peripherals for the day/week/month of XX”. If preferred, further details may also be provided in the Item Description field (IBT-154). You may refer to Annex A of the e-Tax Guide for a sample of the aggregated invoice submission.
Additional clarification required
a) IRAS: For new voluntary GST registrants from 1 Apr 2026, compliance with the GST InvoiceNow Requirement applies as a condition for voluntary GST registration. Where a business is not GST InvoiceNow ready at the point of application, IRAS will assess the application based on the registrant’s circumstances. Where a business fails to comply with the conditions of voluntary GST registration, including the GST InvoiceNow Requirement, IRAS may cancel the GST registration.
b) IRAS: The understanding is not correct. Under the GST InvoiceNow Requirement, GST registered businesses are required to submit invoice data relating to both their supplies and purchases, even if the supplier has separately transmitted its invoice data to IRAS. Kindly refer to Question 2.1 of the GST InvoiceNow Requirement FAQs for a detailed explanation of the rationale for requiring purchase data submissions. 
c) IRAS: Where the transaction falls within the scope of invoice data to be submitted to IRAS (please refer to Section 7 of the e-Tax Guide), businesses must submit the invoice data regardless of the mode of payment or collection. Further, if the transaction falls under Paragraph 7.8 of the e-Tax Guide, the transaction may be submitted on an aggregated basis, including petty cash purchases.
d) IRAS: Please refer to Paragraphs 10.1, 10.2 and 7.12 of the e-Tax Guide for the data file requirements and validations applicable to submissions to IRAS. Businesses should ensure that the invoice data submitted is accurate. Nonetheless, businesses are not required to reconcile the figures with the counterparty to the transaction prior to submission, as invoice data is submitted independently by each party to IRAS. </t>
  </si>
  <si>
    <t>Alvarez and Marsal</t>
  </si>
  <si>
    <t>Mahindru, Neha &lt;nmahindru@alvarezandmarsal.com&gt;</t>
  </si>
  <si>
    <t>Validation Check on Wrongful GST Charges</t>
  </si>
  <si>
    <t>Value-added services</t>
  </si>
  <si>
    <t>On page 7, Paragraphs (B) and (C), third bullet point of the IRAS Recommended Features for the GST InvoiceNow Requirement – Validation Check on Wrongful GST Charges, it states that for invoices that do not meet the conditions, an alert message should be generated to the Supplier (for paragraph (B)) or to the Customer (for paragraph (C)), notifying them that the supplier’s GSTN is invalid/not found, while still proceeding with submission to IRAS.
This wording appears to suggest that invoices should still be submitted to IRAS even if they are incorrect or invalid. Does this mean that such invoices cannot be rejected by the recipient, and that all invoices, including those identified as invalid or erroneous, are required to be submitted to IRAS? Could IRAS please clarify the intended treatment?</t>
  </si>
  <si>
    <t xml:space="preserve">We would like to clarify that the behaviour highlighted in yellow applies only to scenarios involving the submission of solution-extracted invoices (via Type 1B, 2, and 3) from the Supplier's or Customer's solution to IRAS. In such scenarios, the transaction would have already taken place between the Supplier and Customer, and any wrongful GST charges (e.g. Invalid GSTN) would have occurred prior to the submission to IRAS. For data integrity reasons, the invoice data is therefore required to be submitted to IRAS as-is, even though the validation check may trigger an alert.
These scenarios are in contrast with the behaviour under Type 1A submission (Paragraph (A)) whereby the validation checks would be applied at the point of invoice issuance. In this scenario, an alert will be generated to the Supplier, notifying him to check if the Supplier GSTN is invalid / not found and to amend the Supplier GSTN or to remove the GST charges before proceeding to issue the invoice. If the Supplier maintains that the details are correct after checking, he can also override the alert and proceed to issue the invoice. 
Please note that for any wrongful GST charges, businesses should approach their Suppliers to seek recourse and resolution.
On this note, we would also like to share that many of the InvoiceNow-Ready Solutions may come with in-built features that allow the Customer to reject invoices that are received via the InvoiceNow network. For more information, businesses may wish to approach their InvoiceNow-Ready Solution providers. You may refer to Qn 5.5 of FAQs for GST InvoiceNow Requirement for more details.
Finally, besides rejecting invoices, businesses can also correct errors on the issued invoice by (1) issuing credit notes to cancel or to amend the details on the original invoice, or to (2) perform resubmissions. Please refer to paragraphs 11.1 to 11.13 of the e-Tax Guide “Adopting GST InvoiceNow Requirement for GST-registered Businesses” for more information. </t>
  </si>
  <si>
    <t>National Parks Board</t>
  </si>
  <si>
    <t>Hi Angela, 
We would like to seek your advice on the InvoiceNow requirement for transactions involving agent billing on behalf of a supplier.
Background:
NParks is billing licensees and operators on behalf of the Government of the Republic of Singapore. Please refer to the attached sample invoice that NParks will be issuing to end users.
We will be advising NParks on the proper information to be displayed on the tax invoice. Specifically, the GST registration number reflected on the invoice should be the Government's GST registration number, NParks' own UEN should be removed, and the statement indicating that the invoice is issued on behalf of the Government should be prominently displayed on the first page of the tax invoice.
As NParks mentioned that this review arose from the InvoiceNow requirement, we would also like to seek your advice on how the InvoiceNow process should work for such agent billing arrangements. In particular, should NParks use the Government's Peppol ID when issuing invoices to the licensees and operators, and transmit the invoice data using InvoiceNow-ready solutions?
We would appreciate your advice on this point. Thank you in advance.</t>
  </si>
  <si>
    <t>Hi Hidayah,
Apologies for the slight delay.
Regarding the GST InvoiceNow advice, you may wish to adapt from the highlighted extracts below. Refer to the emails attached for the full context.
Regarding the Peppol ID to use, it is still under review as mentioned by Angela. If possible, as it is a complex matter, we would prefer to stay silent till NParks ask further. If necessary, you may consider this holding line:
“The process and controls to issue and submit e-invoice by a third-party is under review by IRAS and IMDA. In the interim, kindly speak with your selected IRSPs/APs to ensure successful transmission via the InvoiceNow network. Should there be any updates following our review, the InvoiceNow / GST InvoiceNow materials will be updated accordingly. You may refer to the materials published on IRAS and IMDA website for the most up-to-date guidance.”</t>
  </si>
  <si>
    <t>Singhealth Pte Ltd</t>
  </si>
  <si>
    <t>Candice &lt;candice.tan.l.y@singhealth.com.sg&gt;</t>
  </si>
  <si>
    <t xml:space="preserve">Determining of total supplies </t>
  </si>
  <si>
    <t xml:space="preserve">Candice from Singhealth Pte Ltd call via invoicenow helpdesk wanted to find out if to determine they should start transacting via invoicenow, they should calculate Total annual supplies refer to the total value of standard-rated, zero-rated and exempt supplies (i.e. Box 4 of GST return), made in all the prescribed accounting periods ending in calendar year 2025. but should they see from subsidary perspective or from group of companies </t>
  </si>
  <si>
    <t>Hi Candice,
We refer to your query below. 
The total annual supplies used to determine the applicable GST InvoiceNow Requirement implementation date should generally be assessed based on each GST registration, and would apply to businesses that are not part of a GST group or under divisional registration.
The implementation date for all members of new and existing GST groups/divisions will be communicated at a later date. Please be assured that sufficient preparation time will be provided for such businesses to onboard. You may refer to IRAS' GST InvoiceNow Requirement website or e-Tax Guide for further updates. 
We hope this clarifies. Thank you.</t>
  </si>
  <si>
    <t>Aggregation with Foreign Currencies</t>
  </si>
  <si>
    <t>I have a query regarding aggregated invoice for POS/STI/PCP. Though this may be rare, but what if any of the transactions are in foreign currencies, can these be aggregated based on base currency (SGD) and submit to IRAS?
Or must it be aggregated based on individual foreign currency with similar exchange rate?</t>
  </si>
  <si>
    <t>Hi Evelyn, 
For the purposes of submitting aggregated invoice data to IRAS under the GST InvoiceNow Requirement, businesses may transmit invoice data either in Singapore dollars (SGD) or in foreign currency.
Each invoice should be denominated in a single currency at the point of issuance. The invoice data submissions do not support multiple currencies within a single invoice. Where it is more convenient for system or operational reasons, businesses may convert the amounts and transmit the invoice data in SGD. Please note that businesses must use the approved exchange rates specified in the e-Tax Guide “Exchange Rates for GST Purpose” to convert the foreign currency to SGD.
Where invoice data is submitted in foreign currency, do note that certain data elements such as Tax currency code, Invoice total without GST in tax currency (SGD), Invoice total with GST in tax currency (SGD), Total GST amount in tax currency (SGD) must be filled in, as specified in the respective data fields below.
BT-SG-001	Invoice total without GST (in SGD)
IBT-111	Invoice total with GST (in SGD)
BT-SG-002	Total GST amount (in SGD)
Hope this clarifies.</t>
  </si>
  <si>
    <t>Sesami</t>
  </si>
  <si>
    <t xml:space="preserve">Mrs Sathya &lt;sathya@sesami.com&gt; </t>
  </si>
  <si>
    <t>Negative Quantity on Invoice</t>
  </si>
  <si>
    <t>Assigned</t>
  </si>
  <si>
    <t>We are writing on behalf of our clients who are registered participants on the Singapore InvoiceNow/PEPPOL network. During integration testing, we have encountered a technical inconsistency between what the PEPPOL BIS 3.0 standard permits and what the IRAS C5 system accepts. We would like to bring this to your attention and seek your official guidance on the correct handling approach.
Issue:
Document type : Invoice (TypeCode 380),CreditNotes(TypeCode 381) with negative quantity on invoice lines
PEPPOL result : SUCCESS — document accepted and delivered via PEPPOL network
IRAS C5 result : FAILED — document rejected by IRAS</t>
  </si>
  <si>
    <t>NEC</t>
  </si>
  <si>
    <t>Mr Ponnalagu Ramachandran &lt;ramachandran_p@nec.com.sg&gt;</t>
  </si>
  <si>
    <t>C5 validation error</t>
  </si>
  <si>
    <t>We are developing InvoiceNow system for one of our customers and testing on InvoiceNow with our access point provider Datapost. The results are as follows 
Invoice successfully transmitted via InvoiceNow
Peppol / Access Point validation passed
IRAS validation failed with message "[IRASC5-034]-The Seller legal registration identifier (IBT-047) MUST be provided."
We have included the info in the AR Invoice xml as below.
&lt;cac:PartyIdentification&gt;
&lt;cbc:ID schemeID="0035"&gt;202544963E&lt;/cbc:ID&gt;
&lt;/cac:PartyIdentification&gt;
But still the same error as in the attached validex site.</t>
  </si>
  <si>
    <t>Hi Mr Ponnalagu Ramachandran,
Thank you for your query.
Based on the information provided, we would like to clarify that the IBT-047 field refers to the following syntax binding:
ubl:Invoice / cac:AccountingCustomerParty / cac:Party / cac:PartyLegalEntity / cbc:CompanyID
The information you have shared (i.e. cac:PartyIdentification) corresponds to a different field and is not mapped to IBT-047. You may wish to verify whether the IBT-047 field has been correctly populated in your invoice data. For reference, you may refer to the Singapore Peppol Guide.
Separately, we note that the Scheme ID provided is “0035”. For purposes of IBT-047-1, the Scheme ID should be “0195”. For reference, you may refer to the technical specifications in IMDA’s website.
If you require further technical assistance, you kindly contact your access point provider DataPost or IMDA. Should the issue persist, you may also forward the complete XML file to us for further assistance.
We hope the above clarifies.</t>
  </si>
  <si>
    <t>Additional clarification required
Meanwhile, we would like to seek further clarification on the following:
i)	Paragraph 3.4 of IRAS’ e-Tax guide: Adopting GST InvoiceNow Requirement for GST-registered Businesses (“GST InvoiceNow e-Tax guide”) provides some examples of documents which serve as bills for payment. As shared in Point (1) above, serially numbered miscellaneous payment receipts are maintained manually by different business units within Singtel and this results in different sets of “serially numbered receipts” being issued (e.g. AA-0001, AA-0002, BB-0001, BB-0002, etc.). Would the IRAS consider these receipts as “serially numbered receipts”, notwithstanding that they are maintained separately using different numbering format?
ii)	Pursuant to Paragraph 3.5 of GST InvoiceNow e-Tax guide, “in situations where businesses would typically issue invoices but choose not to do so, businesses must still submit the data that they record into their accounting system to IRAS”. We would like to confirm our understanding that GST legislation should take precedent and that a valid tax invoice should be issued to GST-registered customers by a GST-registered business, regardless of whether the customer requires a copy of the tax invoice.
iii)	Using the example in Paragraph 3.5 of GST InvoiceNow e-Tax guide, there could be instances where “related entities make supplies to each other but opt to settle by offsetting their accounts receivable/ payable in lieu of issuing invoices and making payment”. Please advise if these transactions would be considered "Aggregated point-of-sale (“POS”) or simplified tax invoice (“STI”) transactions”. If not, please advise the kind of data required to be transmitted for such transactions.
iv)	Following (iii) above, using receipt of directors’ fees as an example (see Point (1) for the sample document), if GST is subsequently assessed to be applicable at the point of GST reporting, does it fall under the requirement for resubmission?</t>
  </si>
  <si>
    <t>i) In general, receipts are required to be submitted to IRAS as they constitute documents that serve as bills for payment. Where different business units within Singtel issue receipts with different numbering prefixes (e.g. AA-0001, AA-0002, BB-0001, BB-0002, etc.), the receipts may generally be regarded as serially numbered receipts. The use of separate numbering series does not in itself preclude the receipts from being regarded as serially numbered receipts.
ii) Yes, the existing GST legislation continues to apply. A GST registered business is required to issue a tax invoice for taxable supplies made to a GST registered customer, regardless of whether the customer requires a copy of the tax invoice. You may refer to Invoicing Customers  for more details.  
To clarify, Paragraph 3.5 of the GST InvoiceNow e Tax Guide refers to specific scenarios where a tax invoice is not required under GST legislation to be issued. In such cases, businesses may choose not to issue an invoice, but must still submit the relevant invoice data recorded in their accounting system to IRAS.
iii) These transactions would generally not be regarded as aggregated point-of-sale (“POS”) or simplified tax invoice (“STI”) transactions. If these transactions fall within the scope of the GST InvoiceNow Requirement, businesses are required to transmit the data recorded in their accounting system to IRAS, notwithstanding that no formal invoice is issued. The data to be transmitted should be based on what is recorded in the accounting system (e.g. supplier and customer information, invoice reference, supply value, GST amount). You may refer to Qn 2.3 of the FAQs for an example of such a transaction.
iv) If we understand your query correctly, you are referring to a scenario where the director’s fees were initially not subject to GST, but at the GST reporting stage, the business reassesses and determines that GST is in fact chargeable, and as such being treated as a resubmission. 
If the invoice data has not previously been submitted to IRAS, this would not be regarded as a resubmission. Once the transaction is assessed to be GST-chargeable and is reported in the GST return, the business should submit the invoice data by the earlier of: (a) the date on which the relevant GST return is filed; and (b) the filing due date of the relevant GST return. In addition, the business will have to determine if a tax invoice is required to be issued under the general GST rules referred in (ii) above. 
However, if the invoice data had already been submitted to IRAS and it is subsequently determined that the wrong GST treatment or tax code was applied, the rectification should typically not made through a resubmission as such adjustments would affect the monetary value of the transaction.
Where the adjustment affects the monetary value of the transaction, the business should issue a credit note to cancel the original submitted invoice and submit a new invoice to IRAS with the correct details, in accordance with Paragraph 11.1 to 11.6 of the GST InvoiceNow e-Tax Guide. 
Businesses may refer to Paragraphs 11.9 and 11.10 for scenarios involving resubmissions that do not affect the monetary value of the submitted invoice.</t>
  </si>
  <si>
    <t xml:space="preserve">Customer UEN for Non-incorporated entities without UEN (e.g. funds, REITs etc) and Sub-funds under VCC </t>
  </si>
  <si>
    <t xml:space="preserve">We are reaching out to seek clarification regarding the “Customer UEN” under IBT-047 and IBT-049. Specifically, we would like to seek IRAS’ advice on how the 2 MDEs should be populated for the following entities:
(a)	Non-incorporated entities without UEN (e.g. funds, REITs etc)
(b)	Sub-funds under VCC (Note: While the VCC has a UEN, the individual sub-funds do not have a separate UEN)
In addition, please also advise on whether the GST InvoiceNow requirements for the above entities would be different for a GST-registered vs non-GST registered entity.
For clarity, our above clarification arose as we note that the above was not addressed in the existing e-Tax Guide and Data specifications (see below). </t>
  </si>
  <si>
    <t>Agilety Health Pte. Limited</t>
  </si>
  <si>
    <t>Tan, Ai Cher-CL &lt;Aicher.Tan@aia.com&gt;</t>
  </si>
  <si>
    <t xml:space="preserve">	
Dear Sir
We are a newly incorporated company providing medical services in a clinic setting. We are preparing to do voluntary GST registration and came to know the InvoiceNow requirements apply to us with this registration. We have earlier contacted IRAS GST officers on 2 occassions to understand more, in touch with SESAMi (a vendor listed on IRAS website) as well as read through the relevant e-guides/vids for this requirement.
Just to provide some background as follows: 
•	We are going to have one financial information system, as well as a clinical management system. At this point in time, we are not looking at any integration of information between these two.
•	The clinical management system is currently not ready for InvoiceNow. Hence we are likely to onboard one of the vendor providing InvoiceNow solution recommended by IRAS.
•	Most, if not all, of our customers are patients (ie. B2C invoices). Clinic staff will generate bill to patients. They will submit claims to Insurers and CPF (Medisave). Once Insurer/ Medisave comes back with the confirmed amount covered, staff will update the system to reflect the updated payment status. As such, we are not likely to bill insurers because we will not know how much of the total bill is covered; and we definitely will not send any bills to CPF-Medisave as the coverage and claims do not work in a typical billing context. 
Based on the above background, we have the following clarifications.
Revenue Query
For the following scenario, how are we to send the information over to IRAS via InvoiceNow via manual upload:
•	Should we aggregate the transactions to capture total bill of $7387 and GST output tax of $387? OR Should we indicate line by line, which shows the details of patients’ names? Note that the information uploaded to InvoiceNow are not for the purposes of transmitting the billing information to the individuals, more for us to send this information to IRAS to reconcile to our GST returns only.
•	For doctor fees that we collect on behalf of the doctors, no GST is applicable, so you can only reconcile (9%) to taxable supplies (facility &amp; consumables) in the above scenario. Will IRAS have any query? Do we need to split the lines as follows during upload:
•	For InvoiceNow solution providers listed on IRAS website, may we know if the upload template is the same format across all providers? 
Purchases
•	If our suppliers are not on InvoiceNow, we will still need to submit our taxable purchases to the portal. Is our understanding correct? 
•	For payments like staff reimbursements, the expense can be aggregated?
End of the day, what we submitted for Sales and Purchases must reconcile back to our GST returns? Is our understanding correct? OR we need not reconcile to the actual GST returns?</t>
  </si>
  <si>
    <t>Dear Ai Cher,
Thank you for your query. Please find our responses below:
Revenue
Where an invoice involves a mix of taxable and non-taxable components, you are required to split these into separate line items and indicate the appropriate tax codes for each. Please refer to Example 24 of the e-Tax Guide for an illustration.
On your question regarding aggregated submissions, please note that only the transaction types specified in Paragraph 7.8 of the e-Tax Guide may be submitted to IRAS on an aggregated basis, namely supplies made via point-of-sale (“POS”) systems, supplies where simplified tax invoices (“STIs”) are issued, and petty cash purchases (“PCPs”). Businesses should assess whether their transactions qualify for aggregated submission, based on their specific operational setup. The requirement to split taxable and non-taxable components continues to apply even where invoices are submitted on an aggregated basis.
On the upload template, IRAS does not provide one for compliance with the GST InvoiceNow Requirement. Any template you have access to is likely provided by your InvoiceNow-Ready Solutions Provider (IRSP), Sesami. We would encourage you to reach out to Sesami directly for confirmation, as well as guidance on submitting accurate invoice data to IRAS. 
Purchases 
Your understanding is correct. Invoice data for all standard-rated purchases and zero-rated purchases, except for specified excluded transactions, must be submitted to IRAS to substantiate your purchases and input tax claims reported in your GST return. Please refer to Section 7 of the e-Tax Guide for information on the scope of invoice data to be submitted. Where your suppliers are not on the InvoiceNow network, invoice data relating to your purchases are to be submitted as a Type 3 Submission. Please refer to Section 6 and Paragraph 6.3 of the e-Tax Guide for further details.
On staff reimbursements, where these qualify as PCPs, they may be submitted on an aggregated basis.
We acknowledge that there may be differences between the total supplies on the invoices transmitted to IRAS and the total supplies reported for GST purposes due to legitimate reasons. Businesses will not be penalised so long as they adhere to the record keeping requirements and are able to produce these records upon request to substantiate their GST reporting and invoice data submissions. Please refer to paragraphs 12.1 and 12.2 of our e-Tax Guide for more information.
We hope the above addresses your queries. Thank you.</t>
  </si>
  <si>
    <t>Sheng Siong</t>
  </si>
  <si>
    <t>Tan Siok Tin &lt;tan.st@shengsiong.com.sg&gt;</t>
  </si>
  <si>
    <t>BCRS deposit</t>
  </si>
  <si>
    <t>Dropped by Taxpayer</t>
  </si>
  <si>
    <t xml:space="preserve">Sheng Siong’s ERP system, however, currently summarizes the BCRS deposit in the invoice summary rather than as individual line items, to avoid modifying their payment process module. 
This divergence from the IRAS example has prompted questions about the best approach for compliance and system compatibility.
However, our tech team has raised a valid point that if Sheng Siong’s suppliers deviates from the norm and adapt to Sheng Siong’s requirements, then other suppliers i.e future big suppliers Coca-cola etc who follow IRAS recommendation may face rejection if everyone is not following the best practice. That may also impact B2G if Sheng Siong or other suppliers are government supplier. </t>
  </si>
  <si>
    <t>Xero (Singapore) Pte. Ltd.</t>
  </si>
  <si>
    <t>Mr Adrian Tan &lt;adrian.tan@xero.com&gt;</t>
  </si>
  <si>
    <t>Decimal place rounding</t>
  </si>
  <si>
    <t>Hi IRAS team, I'm reaching out as a compliance representative of Xero, and I would like to inquire about a requirement for GST InvoiceNow. Based on the GST InvoiceNow specification, we are required to provide the base price, quantity and the total value of transactions rounded into 2 decimal points.
However, our software has a default 8 decimal points function for invoices. This led us to auto-rounding transactions to match IRAS' requirements. For example:
Within Xero:
Base price - 5.08908938
Quantity - 12
Total price - 61.06907256
Info submitted to IRAS via GST InvoiceNow:
Base price - 5.09 (rounded to 2 d.p.)
Quantity - 12
Total price - 61.08
The difference will cause an error in our system. We would like to enquire if IRAS can provide leniency in the calculation formula to reduce the chances of GST InvoiceNow failure for our customers.
We will gladly have conversations with IRAS to solve this issue. Please feel free to reach out for further discussions. Thank you</t>
  </si>
  <si>
    <t>[To IMDA]
Hi Ging,
We are routing this case to you for awareness and tracking, and would appreciate your help to loop in the relevant technical team.
In summary, Xero has raised concerns regarding the 2 decimal place rounding rule, which we understand is aligned with the Peppol standard. Grateful if the technical team could advise or engage Xero on this matter.
Please let us know if it would be helpful for us to support any discussions with Xero.</t>
  </si>
  <si>
    <t>SINYANG BUSINESS CENTER PTE. LTD.</t>
  </si>
  <si>
    <t>Mrs Tan Hong Choo &lt;tax-sy@outlook.com&gt;</t>
  </si>
  <si>
    <t>Pending Approval</t>
  </si>
  <si>
    <t>We refer to the recent notification regarding the GST InvoiceNow Requirement and would appreciate clarification on how accounting firms and corporate service providers that currently manage bookkeeping, accounting, and GST filing on behalf of their clients are expected to operate under the new requirement. Many SMEs engage outsourced accounting service providers because they do not maintain their own accounting software or internal accounting resources, and requiring each client to independently implement and operate an InvoiceNow-enabled solution may result in additional costs and administrative burdens. We would therefore appreciate guidance on whether accounting firms can act as the InvoiceNow-enabled intermediary on behalf of their clients, including the preparation and submission of the required GST-related information while maintaining the existing outsourced service arrangement. On behalf of our clients, we also hope IRAS will consider the practical challenges faced by businesses that rely on outsourced accounting services, as a solution that enables accounting firms to support compliance on behalf of their clients would minimise disruption, avoid unnecessary costs, and facilitate a smoother transition to the InvoiceNow framework.</t>
  </si>
  <si>
    <t>We would like to seek clarification on the submission of invoice data on an aggregated basis for supplies where simplified tax invoices (“STIs”) are permitted.
Based on the correspondence below, we understand that charges aggregated and invoiced periodically (e.g. monthly billing arrangements for assisted living or nursing home services) would not be regarded as supplies made through point-of-sale (“POS”) systems. 
Under the GST legislation, a taxable person is required to issue a tax invoice only for standard-rated supplies made to GST-registered customers. In this context, as our client is permitted under the GST legislation to issue invoices in the form of receipts or simplified tax invoices (or other equivalent billing documents) on a monthly basis to individual customers, we would like to confirm whether such invoices may be treated as STIs and submitted on an aggregated basis under Type 2 submissions.
For completeness, our client has indicated that the data available in its existing InvoiceNow Ready Solution (“IRSP”) (i.e. Microsoft Dynamics 365 Business Central) comprises only transactions aggregated on a monthly basis for assisted living and nursing home services to individuals. The detailed invoice data for each individual invoice is maintained in a separate invoicing system. Hence, if IRAS does not agree with the above approach, our client would need to incur additional costs to customise its invoicing system (which is separate from the IRSP) to capture the required mandatory data fields for transmission.</t>
  </si>
  <si>
    <t>Hi Mei Mei,
Hope all is well too.
As you are aware, under the GST InvoiceNow Requirement, aggregated invoice data submission is permitted only for supplies made via Point-of-Sale ("POS") systems, supplies where simplified tax invoices ("STI") are issued, and petty cash purchases ("PCP"). 
On the issuance of STI, businesses should assess whether their invoices qualify as STI under Regulation 13 of the Goods and Services Tax (General) Regulations. We would like to highlight that where a business is eligible to issue an STI but chooses to issue a regular tax invoice instead, aggregation will not be permitted and the invoice data must be submitted individually. The determining factor is the type of invoice actually issued, not the type that the business is permitted to issue. Businesses may refer to our website on Invoicing Customers for further guidance regarding each type of invoice.
For context, our earlier response to Perennial (Parry) Al Care Pte. Ltd. did not consider aggregation on the basis of STI issuance, as there were insufficient details at the time to determine whether STI had in fact been issued.
We hope the above clarifies the matter. Thank you.</t>
  </si>
  <si>
    <t>Hi Choon Siang,
Many thanks on your prompt response.
For GST purposes, we understand that regular invoices would qualify as simplified tax invoice (“STI”) as long as the invoice includes details of STI. Such invoice may possibly include some additional information such as customer name, the words “tax invoice” etc. stated but without all the required details of a tax invoice as listed under regulation 11 of the GST (General) Regulation. In this regard, can we confirm if our client can regard the invoice issued as an STI if not all the required info of a valid tax invoice is included in their invoice?
We would mention that, for input tax claiming purposes, we understand that there are instances where GST registered business may rely on invoices (not receipts issued from POS) issued to them as STI if the amount including GST is less than S$1,000, to support their input tax claim.
Happy to jump into a call to discuss the above if it is easier. Thank you!</t>
  </si>
  <si>
    <t>Hi Mei Mei,
Thank you for your patience while we reviewed the matter.
For GST purposes, where an invoice meets all the requirements of an STI under Regulation 13, it may continue to be treated as an STI, notwithstanding that it contains additional information beyond what is prescribed for an STI. If the invoice does not contain all the particulars required under Regulation 11, it would not be regarded as a valid tax invoice for the purposes of Regulation 11. Accordingly, the inclusion of selected elements of a regular tax invoice (e.g. customer name, address, or the words "tax invoice"), without fulfilling all the requirements under Regulation 11, would not cause the invoice to be treated as a regular tax invoice or disqualify it as an STI.
In relation to the GST InvoiceNow Requirement, invoices that meet the requirements of Regulation 13 but not Regulation 11 may be submitted on an aggregated basis as an STI.
For the avoidance of doubt, businesses should ensure that they continue to comply with the prevailing legislative requirements on invoicing. In particular, a tax invoice complying with Regulation 11 must be issued where required (e.g. for standard-rated supplies made to GST-registered customers exceeding S$1,000). In addition, businesses should not structure or segment transactions in a manner intended to circumvent the GST InvoiceNow Requirement (e.g. splitting what is substantively a single supply into multiple invoices to fall within the STI or aggregation treatment). The appropriate treatment should be determined based on the true nature and substance of the underlying transaction and the type of invoice that ought to be issued under the legislation.
We hope the above clarifies the matter. Thank you.</t>
  </si>
  <si>
    <t>Billing to Individual patients</t>
  </si>
  <si>
    <t>SooAh</t>
  </si>
  <si>
    <t xml:space="preserve">Dear Choon Siang
Many thanks for the detailed explanation. We had read through the whole e-Tax Guide prior to reaching out to IRAS. We have a better understanding with the response you provided. 
Revenue
What we would like to clarify is that we will be billing for medical fees, to individuals. Patients do not have Peppol ID and hence we are not able to submit these billings under Type 1A. For medical providers, we are also concerned to report breakdown of medical bills as it discloses patients’ personal identifiable information eg. names, address, if these information are required to comply with InvoiceNow requirements. 
Are we able to submit these records under Type 2 submission – Solution extracted method (as indicated under para 6.3 &amp; para 7.8 of the e-Tax Guide, to aggregate the data for submission to IRAS)? </t>
  </si>
  <si>
    <t>Hi Ms Ai Cher,
Thank you for your patience as we reviewed this matter.
Under Paragraph 6.3 of the e-Tax Guide, where the supply transaction is made outside the InvoiceNow network (e.g., the customer is an individual not on the InvoiceNow network), the transmission of invoice data is done through a Type 2 Submission.
For a Type 2 Submission, the following methods are allowed for transactions with individuals:
1.	Submitting individual invoices with certain Customer data elements as “NA”.
In accordance with Paragraph 9.7 of the e-Tax Guide and Footnotes 15 to 17, where the customer is an individual, the Customer Name (IBT-044), Customer UEN (IBT-047) and Customer Address (IBT-050 and IBT-053) data elements may be indicated as “NA”.
2.	Submitting on an aggregated basis. 
As mentioned previously, only supplies made via point-of-sale (“POS”) systems and, supplies where simplified tax invoices (“STIs”) are issued are allowed to be submitted to IRAS on an aggregated basis. You may refer to Paragraph 7.10 and Annex A of the e-Tax Guide for the mandatory data elements that should be defaulted to "POS" or "STI", which includes Customer Name (IBT-044), Customer UEN (IBT-047) and Customer Address (IBT-050 and IBT-053).
Using either of the above methods would not require patients' personal information to be disclosed. Please ensure that you adhere to the record-keeping requirements and are able to produce these records upon request to substantiate your GST reporting and invoice data submissions. If you require assistance with the above submission methods, kindly reach out to your IRSP for guidance.
Please note that the above reply is given based on the information available at this point in time. Should there be any updates, such as further guidance on transactions where aggregated submission is allowed, the e-Tax Guide will be revised accordingly. You may refer to the e-Tax Guide published on the IRAS website for the most up-to-date guidance.
We hope the above clarifies the matter. Thank you.</t>
  </si>
  <si>
    <t>TRUE COMPASS PTE. LTD.</t>
  </si>
  <si>
    <t>Ms Janet Chan &lt;jchan550@yahoo.com&gt;</t>
  </si>
  <si>
    <t>Vendors not sending e-invoices</t>
  </si>
  <si>
    <t>Nicholas</t>
  </si>
  <si>
    <t>E invoicing from Peppol Vendor issue:,,my vendors who are registered in Peppol are not sending me the invoice through e invoicing, so that I can flip it to a Purchase Order. It will be cumbersome to contact each of these companies to ask them to key invoice into e invoicing.,,Please advise.</t>
  </si>
  <si>
    <t>Dear Ms Janet Chan,
Thank you for taking the time to share your feedback with us.
We understand your frustration and recognise the operational challenges you may be facing during this transition. We hope the information below provides some helpful context.
While a registered Peppol ID is the first step towards enabling a business to send invoices through the InvoiceNow network, it does not mean the business is immediately ready to transmit e-invoices. Depending on its existing systems and internal processes, businesses may require additional time – ranging from a few months to longer – before they are fully operational on the InvoiceNow network.
We would also like to clarify that while GST-registered businesses are required to submit invoice data to IRAS, there is currently no requirement for businesses to transmit e-invoices to their trading partners via the InvoiceNow network. This approach gives businesses the flexibility to agree on the invoice exchange method that best suits their needs during the transition period, ahead of the full compliance deadline of 1 April 2031.
You may wish to consider indicating InvoiceNow as your preferred invoicing channel when onboarding new suppliers or updating your procurement processes, where suitable.
We appreciate your feedback, which helps us identify areas for improvement as adoption across the network progresses. IRAS remains committed to supporting the rollout of InvoiceNow.
Thank you.</t>
  </si>
  <si>
    <t>LYK REPAIR PTE. LTD.</t>
  </si>
  <si>
    <t>Ms Looi Wei Chen &lt;accounts@lykrepair.com&gt;</t>
  </si>
  <si>
    <t>Error in transmitting purchase invoice data to IRAS</t>
  </si>
  <si>
    <t>Today I have sent a few purchase invoices, but in DataPost have this massage "IRAS Status Message: Record Not Found"  
reply from DataPost - The error message is from IRAS, please check with IRAS team for further explanation regarding the error message.</t>
  </si>
  <si>
    <t>Dear Ms Looi Wei Chen,
We refer to your query regarding the error encountered when transmitting purchase invoice data to IRAS through your InvoiceNow-Ready accounting solution (DataPost).
To recap, you observed that the transmission returned an IRAS Response Status 404 “Record not found”, while an IRAS acknowledgment ID (ackID) was also returned. This created uncertainty as to whether the transaction had been successfully transmitted to IRAS. 
Based on our review of the screenshots, our findings are as follows:
1.	Invoice Submission
-	Based on the screenshot which you provided, this invoice with the transmission ID “b68ed869-ece7-451e-b262-62cca09a4f2b” was uploaded on 16 June 02:38 pm.
-	The screenshot indicates Uploader Peppol ID as 0195:SGUEN202026951H which corresponds to the UEN of LYK REPAIR PTE LTD.
-	However, our records show that the invoice was submitted under a different Sender ID, namely UEN 0195:C5UID198903166R. 
-	As the Sender ID used for submission (0195:C5UID198903166R) does not correspond to the LYK REPAIR PTE LTD Sender ID (0195:SGUEN202026951H), there appears to be a discrepancy.
2.	Invoice Status Check
-	We note that Datapost subsequently performed a status check using Sender ID 0195:SGUEN202026951H. The status check returned "Not Found".
-	This outcome is expected, as the invoice was submitted under a different Sender ID 0195:C5UID198903166R rather than 0195:SGUEN202026951H.
-	Since the submission and status enquiry were performed using different Sender IDs, the status check would not be able to locate the submitted invoice.
Suggested next steps
-	You may wish to engage Datapost on the following: 
o	Review why the invoice was submitted using Sender ID 0195:C5UID198903166R instead of 0195:SGUEN202026951H. If it is erroneous, Datapost should rectify the behaviour on their end.  
o	Review their process to ensure consistency between invoice submission and status check enquiries. Specifically, the status check should be performed using the same Sender ID that was used for invoice submission. For example, if an invoice is submitted under Sender ID "123", subsequent status enquiries should also be made using Sender ID "123".
You may wish to engage DataPost on the observations above. For similar issues in future, we encourage solution providers to perform the necessary first-level investigation and troubleshooting before escalating the matter to IRAS through their users.
If the issue remains unresolved, please feel free to reach out to us again and include DataPost in the follow-up discussion.
Thank you.</t>
  </si>
  <si>
    <t>Soon Hong QUAH (AGD) &lt;QUAH_Soon_Hong@agd.gov.sg&gt;</t>
  </si>
  <si>
    <t>Cumulus configurations regarding UEN and Seller Tax Identifier (GST Number) for Type 3A submission</t>
  </si>
  <si>
    <t>Hi IRAS colleagues,
The Cumulus team would like to inform IRAS of the technical configurations within Cumulus to accommodate IRAS’ C5 requirements.
UEN
Supplier invoices may be used to facilitate payments for non-goods and services (e.g. for honorarium payments, grants) to payees who are not UEN-registered with ACRA. For the purposes of C5 reporting for Cumulus, we are unable to sieve out and submit only invoices related to goods or services, as previously discussed. Hence, we would like to inform IRAS that for such cases, we will be defaulting the UEN field to "NA", similar to the guidance indicated under Section 9.7 for Customer invoices. 
Seller Tax Identifier (GST Number)
The Seller Tax Identifier (GST Number) may not be maintained in some of our supplier records. For the purposes of C5 reporting for Cumulus, we are not able to retrieve a GST number if the record is currently not maintained. Hence, we would like to inform IRAS that for such cases, we will be defaulting to submitting the UEN in lieu of the GST number.
Do let us know there are any further comments to the above approach while we aim to complete the necessary transmission set up by Apr 2027.
----------------------------------------------------------------------
Hi IRAS colleagues,
Thanks for the fruitful discussion on Tuesday.
We recently had a discussion with SESAMI to align on our UAT approach. During the session, SESAMI mentioned that they had implemented GST number validation (as highlighted below), which they stated was aligned with IRAS requirements. Could we check whether this is the case, as it will have a significant impact on our system integration design for C5 purposes?</t>
  </si>
  <si>
    <t>S SQUARE CAPITAL PTE. LTD.</t>
  </si>
  <si>
    <t>Jia Ying LIM (IRAS) &lt;LIM_Jia_Ying@iras.gov.sg&gt;</t>
  </si>
  <si>
    <t>FY26 &amp; 27 Taskforce</t>
  </si>
  <si>
    <t>Invoice Data not reflected in C5</t>
  </si>
  <si>
    <t>Referred to DDED</t>
  </si>
  <si>
    <t>Hi GIN team,
I would like to seek your assistance on this case, where the IRSP has confirmed that the invoice has been transmitted via InvoiceNow, but the information is not reflected in C5. 
I have also confirmed the sender’s PEPPOL ID with Seasemi and they provided the PEPPOL ID of 0195:SGUEN202555781N.</t>
  </si>
  <si>
    <t xml:space="preserve">Hi all, 
Sesami has just confirmed that the invoice was inadvertently submitted to the Sandbox environment initially. However, they have since reprocessed the invoice, and it has now been successfully submitted to the production environment
The transaction is reflected in the C5 portal. </t>
  </si>
  <si>
    <t>NTT Singapore Pte Ltd</t>
  </si>
  <si>
    <t>Mr John Hui &lt;john.hui@global.ntt&gt;</t>
  </si>
  <si>
    <t>Error in transmitting invoice</t>
  </si>
  <si>
    <t>We do wish to onboard by submitted all our invoices via InvoiceNow, however we have encountered some issues as the invoices were sent out successfully form our SAP system, but it was not received successfully by the respective Government Agencies.</t>
  </si>
  <si>
    <t>Hi Jocelyn,
May I understand if there is any communication between SAP and TP about the issue?
As this appears to not be relevant to the submission of invoice data to IRAS (for now) you should direct TP to work with SAP on the error first.</t>
  </si>
  <si>
    <t>Mapletree Pan Asia Commercial Trust</t>
  </si>
  <si>
    <t>Mdm Lim Lih Yong &lt;lim.lihyong@mapletree.com.sg&gt;</t>
  </si>
  <si>
    <t>My entity is a listed REIT on SGX and we do not have UEN number to transact, we registered for Group GST and using the GST Registration Number starts with MxxxxxxxG to file GST return to IRAS. Currently we are engaging software solution provider to plan and embark on system readiness for GST InvoiceNow requirement, one of the issue we are facing is the peppol ID. For a REIT entity that does not have UEN number, how should we go about to register a peppol ID universally acceptable for Customer &amp; Supplier invoices? Appreciate your advice and guidance.</t>
  </si>
  <si>
    <t>MNG AXP</t>
  </si>
  <si>
    <t>Mdm Anjelika &lt;anjelika.marviolen@mng-solutions.com&gt;</t>
  </si>
  <si>
    <t>Decimal place of net price</t>
  </si>
  <si>
    <t>Does IRAS allow to submit invoices with item net price (unit price) with 4 decimal digit places? I could not find this information anywhere in IRAS documentations pertaining to GST InvoiceNow. All the sample only shows transactions with item net price in 2 decimal digit places. However in peppol guide documentations, it is said that we are allowed to submit invoices with item net price more than 2 decimal digit places, please advise thank you.</t>
  </si>
  <si>
    <t>Hi Mdm Anjelika,
Thank you for your query.
We would like to clarify that the value contained in Item Net Price (IBT-146) can have more than 2 decimal places.  
However, there is a group of mandatory data elements where the values contained in them must have no more than 2 decimal places. 
These are IBTs mainly under the Legal Monetary Total chunk (cac:LegalMonetaryTotal) where the values contained in them represent the sum total / finalised values for the invoice /credit note, which may be used for computation purposes.
Hope the information is helpful for you.</t>
  </si>
  <si>
    <t>FASTPORT PTE. LTD.</t>
  </si>
  <si>
    <t xml:space="preserve">Hi GIN team (again), 
TP’s name: FASTPORT PTE. LTD.
TP’s tax ref no.: 202554366H
Solution Provider: TP did not provide the name of their IRSP. I note that they have a PEPPOL ID - 0195:SGUEN202554366H
TP confirmed that the invoices have been transmitted via InvoiceNow and provided the following transmission IDs: 
1. 4bba0344-a8f1-4d88-aad7-0bcdc67e3f7c
2. f99e9fdc-ba89-42af-a009-379f588b7294
3. 0a99e3bf-d38a-4389-883e-943fd5e82221
I note that the information is not reflected in C5. </t>
  </si>
  <si>
    <t>Hi All, 
We had requested TP to resubmit the purchase data. The transactions are reflected in the C5 portal. 
Thank you.</t>
  </si>
  <si>
    <t xml:space="preserve">Jun Rong CHOW (BCA) &lt;CHOW_Jun_Rong@bca.gov.sg&gt; </t>
  </si>
  <si>
    <t>Invoicing to Trust/Trustee</t>
  </si>
  <si>
    <t>Hi Choon Siang, Joel,
BCA would like to seek guidance from IRAS and AGD for invoicing matters with regards to the Trustee arrangements, especially with the upcoming implementation of InvoiceNow.
To provide some background, Trustees have legal ownership of the Trust assets and hold them on behalf of the Trust or Fund (e.g., REITs). Basic understanding on REITs in the link here (S-REITs and Business Trusts | REITAS – REIT Association of Singapore)
In the context of BCA, these Trustees are the legal owners of the properties and are required to obtain certain permits from BCA, such as Lift/Escalator permits or Advertisement Licences, for day-to-day operations.
These Trustees then subcontract the application and management of these permits and licenses to Property Managers.
Currently, BCA invoices based on the UEN (obtained from Corppass) of the applicant. For instance, if a Trustee delegates management to a Property Manager, the Property Manager logs into our eService using the Property Manager’s UEN to apply for a Lift Permit. Consequently, BCA invoices the Property Manager based on the provided UEN, with the name extracted from Datahive using the ACRA database.
However, the Trustee has requested that the invoice reflect their name (e.g., HSBC Institutional Trust Services (Singapore) Limited, as Trustee-Manager of RCS Trust) since they are the payer for the application.
BCA seeks clarification on how to invoice Trustee companies, on the following points:
1.	Who should be the correct party listed on the Tax Invoice?
2.	Does IRAS permit a Tax Invoice to contain multiple company names 
a.	Example 1: Invoice is addressed to Property Manager, with Trustee name (ie. HSBC Institutional Trust Services (Singapore) Limited, as Trustee-Manager of RCS Trust) indicated in the Memo field
b.	Example 2: Invoice is addressed to Trustee (ie. HSBC Institutional Trust Services (Singapore) Limited, as Trustee-Manager of RCS Trust) c/o Property Manager name
Can the Trustee claim input GST for this payment? Which Peppol ID should be used?
3.	If we are required to direct the invoice to the Trustee, and the company name is “HSBC Institutional Trust Services (Singapore) Limited” (with UEN 194900022R) without the Trustee-Manager designation, will they still be able to claim input GST? 
4.	How will InvoiceNow interact with this arrangement, given that the Peppol ID will likely use the TGUEN+&lt;UEN&gt;? For such, given the same UEN can act as Trustee for different Trusts, how would the Trustee differentiate in InvoiceNow if using the same Peppol ID?
For your guidance please,</t>
  </si>
  <si>
    <t>DFI Retail Singapore Pte. Ltd. (7-Eleven)</t>
  </si>
  <si>
    <t xml:space="preserve">Hwee Leng Gan &lt;hweeleng.gan@aep-advisory.com&gt; / Ee Theng Ng &lt;eetheng.ng@aep-advisory.com&gt; / Tan Choon Eng &lt;chooneng.tan@dfiretailgroup.com / choetan@7eleven.com.sg&gt; / Aaron Cheng &lt;aacheng@7eleven.com.sg&gt; </t>
  </si>
  <si>
    <t>Franchising arrangement</t>
  </si>
  <si>
    <t>Received</t>
  </si>
  <si>
    <t>Hi Jillian and GIN colleagues,
Refer to our discussions on the 7-11 franchise arrangement InvoiceNow compliance matter, for GIN team’s assistance to follow-up pls. 
To recap, TP DENG XINGXING (S8979384Z) submitted a GST application in May 26 after entering into a franchise agreement with 7-11. As the application was made on a voluntary basis, TP was informed that it would be required to comply with the InvoiceNow Requirement. 
•	Our discussions with TP surfaced potential compliance difficulties with the Requirement, as the procurement and accounting processes appear to be highly centralised at the franchisor’s end. Under the franchise agreement, the franchisor will maintain the bookkeeping and accounting records relating to the store and provide the info required to enable TP to fulfil its tax obligations. 
•	However, it is unclear how this can be done in a manner that enables TP to comply with the Requirement, as the understanding is that 7-11 will only provide aggregated data to its franchisees. This could be a particular issue for purchase data, as franchisees are required to place inventory purchase orders through 7-11’s procurement system and may not have invoice-level data for submission to IRAS.
•	We had surfaced an option that TP could onboard and send the invoice data to IRAS via a separate FOC IRSP. However, we recognise that this may not be the most ideal, as TP would likely have to duplicate its invoicing efforts, while the franchisor would still need to sort out invoicing arrangements with its franchisees. 
For context, we approved TP’s GST reg application on 15 Jun with an effective GST reg date of 1 Jul, as withholding the reg could result in termination of the franchisee agreement. SG has approved the deferment of TP’s GST InvoiceNow Requirement commencement date to 6 months from its effective reg date. See attached email for further context if necy. The plan is to review the outcome the 3-month mark and, depending on the outcome, consider comms to TP on the next steps accordingly (whether to adopt free IRSP etc). 
Separately, Martin spoke to franchisor yesterday – franchisor mentioned that they are working with their TA (AEP Advisory) and intend to seek IRAS’s help with the situation for their franchisees. The franchisor intends to explore possible solutions with IRAS, as they expect 2 more franchisees to onboard by 1 Oct 2026; we are therefore likely to receive more of such GST applications soon. We have obtained the franchisor’s contact details below for GIN’s ease of outreach, and will let them know that the relevant team IRAS will be reaching out to them soon. Thanks! 
Contact persons from Franchisor:
1.	Tan Choon Eng – Senior Finance Manager
Email: chooneng.tan@dfiretailgroup.com / choetan@7eleven.com.sg
2.	Aaron Cheng – Account Manager
Email : aacheng@7eleven.com.sg
Contact number: 81812085</t>
  </si>
  <si>
    <t>Type 1B submission</t>
  </si>
  <si>
    <t>Customer wants to know. If they received Sales Invoice via Peppol Network (Type 1A). But they don't want to Flip to Purchase Invoice for IRAS (Type 1B). Instead, they want to send as Type 3A. Is this allowed ?</t>
  </si>
  <si>
    <t>101s Advisory Pte Ltd</t>
  </si>
  <si>
    <t>Mrs Goh Hui San &lt;101s.advisory@gmail.com&gt;</t>
  </si>
  <si>
    <t>Sales via marketplace provider (Grab/FoodPanda)</t>
  </si>
  <si>
    <t>I am writing on behalf of my client, whose business is in the F&amp;B industry.
The client receives revenue from its POS system, as well as from Grab and Foodpanda sales. I checked with your live chat agent, Nur, and was informed that sales generated through Grab and Foodpanda are not eligible for aggregated submission under InvoiceNow.
As there are a large number of transactions on a daily basis, I would like to seek clarification on how sales from Grab and Foodpanda should be submitted under InvoiceNow.
In the event that aggregated submission is not allowed for these transactions, could you please advise whether there are any alternative submission methods available?
Based on the e-Tax Guide, we understand that aggregated submissions are currently applicable to POS, STI and PCP transactions only. Could you also confirm whether there are any other options available for Grab and Foodpanda sales?</t>
  </si>
  <si>
    <t>WILLY INSURANCE BROKERS PTE LTD</t>
  </si>
  <si>
    <t>Mdm Jane Khor &lt;jane@willy.com.sg&gt;</t>
  </si>
  <si>
    <t>Debit note issued by General Insurance Brokers</t>
  </si>
  <si>
    <t>We are General Insurance Brokers and usually issue Debit Note to our clients for receiving of premium on behalf of the Insurance Company. Understand from our current solution provider, the code that we are using i.e. DN is out of scope which cannot be submitted via InvoiceNow. In this way, how do our clients pay to us ? In future, will it be possible that Insurance Brokers are not allowed to collect the premium from their client on behalf of the Insurance Company. We would appreciate if you could provide some related information on the Insurance Brokers if implementing InvoiceNow. Thank you.</t>
  </si>
  <si>
    <t>Aggregation of B2C Telecom Services</t>
  </si>
  <si>
    <t>Cheryl</t>
  </si>
  <si>
    <t>Drafting</t>
  </si>
  <si>
    <t>Whether Consumer billings via FusionCore, PX and BCC may be aggregated</t>
  </si>
  <si>
    <t>Dalstech Pte. Ltd.</t>
  </si>
  <si>
    <t>Mrs Yeo Hwey Fern &lt;emily.yeo@dalstech.com&gt;</t>
  </si>
  <si>
    <t>Duplicated invoice submission</t>
  </si>
  <si>
    <t>We are an InvoiceNow Solution Provider, and we encountered a special scenario where an error was triggered within the system. During the troubleshooting process, the Send InvoiceNow button was clicked multiple times, which resulted in the invoice being submitted to IRAS multiple times.
Please find the attached screenshot from our Access Point Provider, DataPost Pte Ltd, for your reference.
The affected invoice details are as follows:
Invoice No.: PI2600143
UEN No.: 202534756W
We would greatly appreciate it if you could assist in voiding the duplicated invoice submissions from your end.
Thank you for your assistance, and we look forward to your advice.</t>
  </si>
  <si>
    <t>Explicit sales-to-purchase tax code mapping</t>
  </si>
  <si>
    <t>Billbay wrote in after Monday's briefing with two points for IRAS:
1. FAQs on why GST F5 returns are still required after onboarding onto GST InvoiceNow, and when businesses can stop submitting them. They say this comes up often with their customers.
2. An explicit sales-to-purchase tax code mapping for Data Flow 3A (e.g. SR to TX, NG to NR, OS to OP, ZR to ZP), which would help them automate AP invoice import. Alternatively, they suggest one set of codes valid for both sales and purchase, so that the supplier's GST category carries through the transaction.
Grateful for your views before our one-on-one session with them. Their email is below.</t>
  </si>
  <si>
    <t>Energy Market Company Pte Ltd</t>
  </si>
  <si>
    <t>Mdm Anne Goh Hui Siang &lt;anne.goh@emcsg.com&gt;</t>
  </si>
  <si>
    <t>Our company is the market operator that operates the wholesale electricity market. We have a customised system to generate the invoices for the transactions in the wholesale electricity market. The information is interfaced to Microsoft Dynamics 365 Business Central.
As the InvoiceNow implementation will affect all the market participants in the wholesale market, we would like to find out if there is a designated officer who could assist us on the queries we have on the implementation of InvoiceNow.
Some of the queries we have are :-
a) Currently we have 1 GST registration number but we have 2 different databases in Business Central – one for all the transactions in the wholesale market and another for the entity’s business transaction. Our software vendor has advised that we will be required to apply 2 separate Peppol IDs. Are we able to implement InvoiceNow over 2 phases since there are 2 separate Peppol IDs or are we required to implement all at the same time since we share the same GST registration number? 
b) What is the impact to the market participants if EMC implements InvoiceNow ahead or later than some of the participants? We would like to seek IRAS’s advise on how to handle the transition process.
c) We issue Buyer Created Tax Invoices. Do we include in the InvoiceNow transmission to IRAS? Is there anything we need to handle differently from other Tax Invoices?
d) We also issue memo to the participants for transactions that do not attract GST eg vesting contract pricing difference. Is there any issue if we include these transactions without GST in the InvoiceNow transmission to IRAS?
e) Currently the market participants download the invoices from the portal. Can we continue publishing the invoices on the portal even after the InvoiceNow implementation?
Your advice and assistance will be greatly appreciated.</t>
  </si>
  <si>
    <t>Insert and drag down</t>
  </si>
  <si>
    <t>S/N</t>
  </si>
  <si>
    <t>Category</t>
  </si>
  <si>
    <t>Description</t>
  </si>
  <si>
    <t>Assignee</t>
  </si>
  <si>
    <t>Channel</t>
  </si>
  <si>
    <t>Group</t>
  </si>
  <si>
    <t>Default selection when first entered</t>
  </si>
  <si>
    <t>No need to surface the query to DS</t>
  </si>
  <si>
    <t>Assigned by Jillian or taken up personally</t>
  </si>
  <si>
    <t>Requires DS’s inputs/agreement</t>
  </si>
  <si>
    <t>Assignee has attempted to draft reply</t>
  </si>
  <si>
    <t>Requires DS to examine and front</t>
  </si>
  <si>
    <t>Assignee is clarifying with enquirer</t>
  </si>
  <si>
    <t>Webinar / Engagement sessions</t>
  </si>
  <si>
    <t>Country comparison</t>
  </si>
  <si>
    <t>Consulting within GIN</t>
  </si>
  <si>
    <t>Consulting with C5, DS, IMDA etc. if required</t>
  </si>
  <si>
    <t>Sent to Jillian for approval</t>
  </si>
  <si>
    <t>Approved</t>
  </si>
  <si>
    <t>Approved by Jillian</t>
  </si>
  <si>
    <t>IRSPs / APs</t>
  </si>
  <si>
    <t>Responded to inquirer</t>
  </si>
  <si>
    <t>Repository Updated</t>
  </si>
  <si>
    <t>Assignee checked that CS team has updated in FAQ Repository</t>
  </si>
  <si>
    <t>After 3 weeks from the date of email to TP which TP didn’t respond</t>
  </si>
  <si>
    <t>Referred to IMDA</t>
  </si>
  <si>
    <t>Sector Engagements</t>
  </si>
  <si>
    <t>Due date for transmission</t>
  </si>
  <si>
    <t>For GST compliance queries</t>
  </si>
  <si>
    <t>Benefits and implications of InvoiceNow</t>
  </si>
  <si>
    <t>For C5 Data not found issues</t>
  </si>
  <si>
    <t>Pilot Experience on Invoice Data Submission</t>
  </si>
  <si>
    <t>Legislation</t>
  </si>
  <si>
    <t>Data Protection and Privacy</t>
  </si>
  <si>
    <t>GST Group Registration</t>
  </si>
  <si>
    <t>Costs</t>
  </si>
  <si>
    <t>Ikegami Electronic Asia Pacific Pte Ltd</t>
  </si>
  <si>
    <t>Ms Margaret Lei Enbei &lt;margaret.l@ikegami.com.sg&gt;</t>
  </si>
  <si>
    <t>Invoice to overseas customers</t>
  </si>
  <si>
    <t>PCO received this feedback from Ikegami Electronic Asia Pacific Pte Ltd (UEN: 201403424N) (business is connected to C5), that they have difficulty obtaining the “postal address” and “business registration number” from their overseas customers. Their overseas customers are non-responsive or unwilling to provide the number, so Ikegami had filled in ‘NA’ in these fields. However, D&amp;S team had flagged out to them it is incorrect (sent via email on 20 Nov 2025). Until the issue is resolved, they are unable to issue invoices to their customers. 
Can the team consider how to give more direction to such businesses, who are unable to obtain all the info to complete the MDEs correctly. Thanks!</t>
  </si>
  <si>
    <t>1. Scope of Use</t>
  </si>
  <si>
    <t>Contact Handling Framework</t>
  </si>
  <si>
    <t>For all other 'non-feedback' cases</t>
  </si>
  <si>
    <t>2. Standard Operating Procedure (SOP)</t>
  </si>
  <si>
    <t>Date of enquiry</t>
  </si>
  <si>
    <t>Name of business/ organisation</t>
  </si>
  <si>
    <t>Contact Name</t>
  </si>
  <si>
    <t>Email</t>
  </si>
  <si>
    <t xml:space="preserve">Accounting and Finance solution </t>
  </si>
  <si>
    <t>Enquiries</t>
  </si>
  <si>
    <t>OIC</t>
  </si>
  <si>
    <t>Remarks</t>
  </si>
  <si>
    <t>Feedback Status (GIN/IMDA)</t>
  </si>
  <si>
    <t>Completion Date (IMDA/GIN)</t>
  </si>
  <si>
    <t>Final Reply (IMDA)</t>
  </si>
  <si>
    <t>Included in Support Update (GIN)</t>
  </si>
  <si>
    <t>27/2/2026</t>
  </si>
  <si>
    <t>Not available</t>
  </si>
  <si>
    <t>General feedback</t>
  </si>
  <si>
    <t>1. ERP models will take more time to onboard InvoiceNow due to practical issues/ roadblocks when engaging APs 
•	We spoke to quite a few APIs (typo) but they were slow to respond
•	Each has their own commercial model and their own approach, and they only want to reveal their tech specs after they are engaged. 
•	On the other hand, we need to know their tech specs and compatibility with our ERP before we can engage them 
2. Even though the AP is accredited with IMDA, there are security concerns since we would be giving information to a third party. The setup, data and security clearance processes involved may be complex and take additional time before we can, hence it is not practical to expect us or similar businesses using an ERP solution to onboard InvoiceNow. We feel the current implementation timeline is not realistic/ practical for us or similar businesses.</t>
  </si>
  <si>
    <t>GEN-CS</t>
  </si>
  <si>
    <t>Closed</t>
  </si>
  <si>
    <t>Thank you for sharing this feedback from your taxpayer.
1.	I think we all agree that APs should be supportive of business enquiries and help to make the InvoiceNow adoption process smoother for businesses. 
2.	The concerns raised regarding slow responses and reluctance to share technical specifications upfront are indeed counterproductive to our nation-wide digital initiative. However, as we do not have factual details about this specific case, our actions to follow up will be broadbase to all APs, as we cannot pinpoint any particular AP since no AP name was provided.
3.	We understand that APs may have commercial considerations around protecting their intellectual property and qualifying serious prospects. However, in the context of GST InvoiceNow as a national tax mandate with compliance deadlines, APs should balance their commercial interests with their responsibility to support nationwide adoption. 
4.	In general, APs should provide sufficient technical overview to enable businesses to assess compatibility and feasibility with their existing ERP systems and make informed decisions about AP services. Withholding these essential information during the evaluation phase creates unnecessary barriers and may delay businesses' compliance preparations. 
5.	As for the data security practices and safeguards, given that businesses will be transmitting sensitive commercial and financial data through AP platforms, transparency about security practices is essential for building trust and enabling informed decision-making. I would consider data security as a fundamental consideration for businesses selecting an AP service provider. In this regard, when engaging with businesses, APs can also build trust by sharing information about their security certifications/ practices (such as ISO 27001) etc with the businesses so as to help them make an informed decision.
6.	My suggestion is that during the upcoming AP ops meeting, we could remind the APs on the above.</t>
  </si>
  <si>
    <t>Incomplete list of tax codes</t>
  </si>
  <si>
    <t>Thank you for bringing this to our attention.
We have scheduled an urgent demo clarification call with Sesami for Wed, 4 March at 10am to understand these issues.</t>
  </si>
  <si>
    <t>Open</t>
  </si>
  <si>
    <t>Purely Delights Pte Ltd</t>
  </si>
  <si>
    <t>Patsy Ng</t>
  </si>
  <si>
    <t>purely.delights@gmail.com</t>
  </si>
  <si>
    <t>Hi my company is operating a food kiosk selling to end consumers only. I understand from the IMDA FAQ that InvoiceNow only covers business to business transactions and B2C transactions are not covered. Can you advise if it means my company do not need to transmit GST invoice data through InvoiceNow?</t>
  </si>
  <si>
    <t>Umairah (Taskforce)</t>
  </si>
  <si>
    <t xml:space="preserve">Thanks for the email and feedback. We will update the suggested liner to prevent confusion. </t>
  </si>
  <si>
    <t>Xero</t>
  </si>
  <si>
    <t xml:space="preserve">As we have received a number of queries in our Live Chat from TPs using Xero accounting software, we wanted to check with you if Xero is supporting their customers by providing guidance to onboard GST InvoiceNow Requirement.
Just to clarify that the intention is to check with Xero if they have proactively communicated with their customers on the resources available for them, as well as to provide sufficient guidance regarding the onboarding steps to onboard using Xero software. It would be helpful to confirm the extent of Xero’s outreach and communication efforts to ensure that their customers are properly informed about the required actions. This way, we can avoid contacts from Xero’s customers asking for guidance on how to onboard InvoiceNow. </t>
  </si>
  <si>
    <t>Thank you for the clarification and understand your intent. Agree that we should check with Xero on their proactive communication efforts to their customers.
I have reached out to Xero to understand their communication and outreach plans for informing their existing Singapore users about InvoiceNow and GST InvoiceNow implementation requirements. Given that Xero has a large user base, it will be useful to understand their communications and outreach to proactively engage these Xero users who need to comply with the mandate. This will help us better coordinate our support efforts and reduce the volume of basic onboarding queries that taxpayers are directing to government agencies, ensuring a smoother implementation process for all parties.
Will keep all updated after our discussion with Xero.</t>
  </si>
  <si>
    <t>TallyPrime</t>
  </si>
  <si>
    <t>Continue to claim as IRSP despite dropping out</t>
  </si>
  <si>
    <t xml:space="preserve">TallyPrime IRSP accreditation status has been terminated in 2023 as they were not able to keep up with the Peppol requirements.
Can you provide the contact of the TallyPrime solution provider to us that liaised with the particular taxpayer? </t>
  </si>
  <si>
    <t>13/4/2026</t>
  </si>
  <si>
    <t xml:space="preserve">We wanted to share an observation from our support team based on recent interactions with taxpayers. We have noticed a recurring query around the process and implications of changing an IRSP and/or accounting software, particularly on whether a new Peppol ID is required.
Our current understanding is that:
•	Taxpayers do not need to re apply for a new Peppol ID when changing IRSPs or accounting software; and
•	They would instead need to deregister their existing IRSP and subsequently register with the new IRSP.
We would like to understand whether this clarification is currently reflected in IMDA’s published materials or FAQs. If not, it may be helpful to consider including this information, as such queries appear to arise regularly.
Separately, it may also be useful to consider whether IRSPs could be encouraged to include clearer guidance on the end to end deactivation / deregistration process in their user guides (beyond guidance on GST InvoiceNow deactivation alone), to better support taxpayers who are evaluating or updating their arrangements.
</t>
  </si>
  <si>
    <t>Thank you for bringing this to our attention. That's right, in terms of process, the correct way to "reapply for a new Peppol ID" is to simply deregister from their existing IRSP and register with the new IRSP - once they register with the new IRSP, their UEN will be registered with the new IRSP. 
We are also currently reviewing the types of onboarding queries typically asked by businesses and have noticed that beyond asking about how to onboard InvoiceNow, businesses are also asking about changing IRSPs, which aligns with the observation you've shared.
We do plan to update our IMDA FAQ on the process of changing IRSPs to address these recurring queries.
Additionally, thanks for your suggestion – I think it is good idea to work with IRSPs to encourage them to include clearer guidance on the end-to-end Peppol ID registration/deregistration process in their own FAQs/knowledge bases too.</t>
  </si>
  <si>
    <t>29/4/2026</t>
  </si>
  <si>
    <t>360 Orthopaedics Pte. Ltd.</t>
  </si>
  <si>
    <t>Lim Ai Chia</t>
  </si>
  <si>
    <t>aichia@chartsworth.sg</t>
  </si>
  <si>
    <t>Hi, we are subject to InvoiceNow and are currently using Xero as our accounting system to transmit data to IRAS.
However, we were informed by Xero that as InvoiceNow was only recently activated (after we had prepared the GST F5 and accounts), Xero is unable to transmit historical data (i.e. purchase invoices) to IRAS. The system only supports auto-transmission upon activation and does not allow manual transmission for past purchase invoices (unlike sales invoices). Xero has advised us to check with IRAS on how to transmit the historical data (purchases invoices) for Jan to Mar 2026 (please refer to the attachment “chat with Xero” for your reference).
We have since raised this query with an IRAS officer on 29 Apr 2026. Hidayah (IRAS live agent) informed us that they will need to check with the relevant team before advising on the transmission of purchase invoices (historical data for Jan to Mar 2026). She inquired us to raise it here.</t>
  </si>
  <si>
    <t>Taskforce have reached out to the TP and they have rectified the issue.</t>
  </si>
  <si>
    <t>Noted that IRAS's primary concern is on ensuring that IRSPs have clearer onboarding guidance and user education in place, so that businesses activate the InvoiceNow feature at the appropriate stage — i.e. before recording and approving invoices to avoid situations where historical invoices fall outside the automatic transmission window.
We will follow up with Xero on this and highlight the importance of improving their onboarding process to minimise the occurrence of such scenarios going forward.</t>
  </si>
  <si>
    <t>18/5/2026</t>
  </si>
  <si>
    <t>Moneyworks</t>
  </si>
  <si>
    <t xml:space="preserve">We would like to share with u a feedback that we received from a user of Moneyworks on live chat. The user:
-	expressed that the current guidance is too generic and not practical for SMEs with existing accounting systems. 
-	finds it difficult to navigate the numerous AP/IRSP options and wanted clearer categorisation to quickly identify the solutions that best fit their needs. 
-	is concerned about cost and disruption from switching systems, with a preference to retain their current software. 
-	highlighted confusion over whether InvoiceNow is a standalone solution or requires integration. </t>
  </si>
  <si>
    <t>4/6/2026</t>
  </si>
  <si>
    <t>Financial Markets Association of Singapore</t>
  </si>
  <si>
    <t>Mdm Tan Geok Wah</t>
  </si>
  <si>
    <t>geokwah@fmasg.org.sg</t>
  </si>
  <si>
    <t>QuickBooks Online Plus</t>
  </si>
  <si>
    <r>
      <t xml:space="preserve">Unable to </t>
    </r>
    <r>
      <rPr>
        <b/>
        <sz val="12"/>
        <color theme="1"/>
        <rFont val="Aptos"/>
        <family val="2"/>
      </rPr>
      <t>create Link4 account</t>
    </r>
    <r>
      <rPr>
        <sz val="12"/>
        <color theme="1"/>
        <rFont val="Aptos"/>
        <family val="2"/>
      </rPr>
      <t xml:space="preserve"> to link up InvoiceNow</t>
    </r>
  </si>
  <si>
    <t>Jocelyn Toh (GEN-CS)</t>
  </si>
  <si>
    <r>
      <t xml:space="preserve">GST Customer Service Team had sent an Interim Reply. Not responded yet.
</t>
    </r>
    <r>
      <rPr>
        <sz val="12"/>
        <color rgb="FFC00000"/>
        <rFont val="Aptos"/>
        <family val="2"/>
      </rPr>
      <t>Solution provider is not InvoiceNow-Ready.</t>
    </r>
  </si>
  <si>
    <t>28/5/2026</t>
  </si>
  <si>
    <t>Star Bridge PAC</t>
  </si>
  <si>
    <t>Ms Tham Ing Meng</t>
  </si>
  <si>
    <t>ingmeng@starsbridges.com</t>
  </si>
  <si>
    <t>QuickBooks Desktop (offline version)</t>
  </si>
  <si>
    <t>Dear Officer,
I would like to check whether our company, which is currently using QuickBooks Desktop (offline version), is able to connect to the InvoiceNow platform.
Could you please advise on the available methods or requirements for the integration?
Thank you.</t>
  </si>
  <si>
    <t>Sunitha Devi Pillai (GEN-CS)</t>
  </si>
  <si>
    <r>
      <t xml:space="preserve">Submitted via GST General Tax Matters.
GST Customer Service Team had sent an Interim Reply. Not responded yet. 
</t>
    </r>
    <r>
      <rPr>
        <sz val="12"/>
        <color rgb="FFC00000"/>
        <rFont val="Aptos"/>
        <family val="2"/>
      </rPr>
      <t>Solution provider is not InvoiceNow-Ready</t>
    </r>
  </si>
  <si>
    <t>P S Resources (S) Pte Ltd</t>
  </si>
  <si>
    <t>Wong Soo Yen</t>
  </si>
  <si>
    <t>sooyen@psresources.com.sg</t>
  </si>
  <si>
    <t>Intuit Quickbooks Singapore Edition</t>
  </si>
  <si>
    <r>
      <t xml:space="preserve">“My business currently utilizes QuickBooks Online (Singapore Edition) for invoicing. According to the official IRAS and IMDA advisories, businesses are instructed to select a solution from the public list of IMDA-accredited InvoiceNow-Ready Solution Providers (IRSP) found at go.gov.sg/invoicenowirsp.
QuickBooks Online has recently launched its native, built-in InvoiceNow e-invoicing feature in Singapore. This setup does not utilize a separate, external retail IRSP application from the public list. Instead, Intuit QuickBooks has natively embedded an integration with Fonoa directly into the core user dashboard….”
Technical Deployment Details:
To ensure there is zero ambiguity, here is the exact technical workflow of this native setup:
Infrastructure/Access Point: The integration utilizes global tax automation provider Fonoa as the underlying Peppol Access Point infrastructure to transmit invoice payloads directly to the Singapore Peppol network and IRAS.
Activation Workflow: The feature is enabled natively within the QuickBooks Online dashboard via Settings &gt; Account and Settings &gt; Sales &gt; E-invoicing.
KYC &amp; UEN Registration: The activation triggers a data-sharing authorization with Fonoa, requiring a mandatory Corppass API handshake (via Singpass login) to register my business's Unique Entity Number (UEN) onto the Singapore Peppol directory.
Data Transmission: Once connected, compliant structured e-invoice data is transmitted directly from QuickBooks Online through Fonoa's pipe to the recipient and IRAS, without requiring any secondary third-party software "bridge" (such as Link4).
Explicit Request for Confirmation:
Because </t>
    </r>
    <r>
      <rPr>
        <b/>
        <sz val="12"/>
        <color theme="1"/>
        <rFont val="Aptos"/>
        <family val="2"/>
      </rPr>
      <t xml:space="preserve">neither "Intuit QuickBooks" nor "Fonoa" appears explicitly as an independent retail vendor </t>
    </r>
    <r>
      <rPr>
        <sz val="12"/>
        <color theme="1"/>
        <rFont val="Aptos"/>
        <family val="2"/>
      </rPr>
      <t>on the public go.gov.sg/invoicenowirsp list, I require your direct verification for our compliance records.
Please provide a direct YES or NO answer to the following question:
Is this specific, natively embedded QuickBooks Online + Fonoa integration officially recognized and approved by IRAS as a compliant method to meet my business's legal obligations under the GST InvoiceNow Requirement?
If your answer is YES, please confirm that utilizing this native setup satisfies the mandate, despite the software not being listed on the public IRSP directory.
If your answer is NO, please state the exact regulatory or technical reason this embedded architecture is non-compliant, so that I may immediately pivot to an external accredited bridge provider.
Thank you for your time. I look forward to your explicit confirmation.</t>
    </r>
  </si>
  <si>
    <t>Mabel Low (GEN-CS)</t>
  </si>
  <si>
    <t>15/5/2026</t>
  </si>
  <si>
    <t>tbzm pte ltd</t>
  </si>
  <si>
    <t>Mdm Sheilee</t>
  </si>
  <si>
    <t>sheilee@teabonezenmind.com</t>
  </si>
  <si>
    <t>Quickbooks online</t>
  </si>
  <si>
    <r>
      <t xml:space="preserve">Pls advise if </t>
    </r>
    <r>
      <rPr>
        <b/>
        <sz val="12"/>
        <color theme="1"/>
        <rFont val="Aptos"/>
        <family val="2"/>
      </rPr>
      <t>Quickbooks Online can interface with IRAS InvoiceNow</t>
    </r>
    <r>
      <rPr>
        <sz val="12"/>
        <color theme="1"/>
        <rFont val="Aptos"/>
        <family val="2"/>
      </rPr>
      <t>. QBO said can (refer attached) but IRAS chat support staff said cannot. Please check and confirm</t>
    </r>
  </si>
  <si>
    <t>11/5/2026</t>
  </si>
  <si>
    <t>Attix APAC Pte Ltd</t>
  </si>
  <si>
    <t>Ezequiel Tan</t>
  </si>
  <si>
    <t>ezequiel.tan@attix.com</t>
  </si>
  <si>
    <t>Quickbooks</t>
  </si>
  <si>
    <r>
      <t xml:space="preserve">We have encountered an issue regarding </t>
    </r>
    <r>
      <rPr>
        <b/>
        <sz val="12"/>
        <color theme="1"/>
        <rFont val="Aptos"/>
        <family val="2"/>
      </rPr>
      <t>invoices created not synced to Link4 platform</t>
    </r>
    <r>
      <rPr>
        <sz val="12"/>
        <color theme="1"/>
        <rFont val="Aptos"/>
        <family val="2"/>
      </rPr>
      <t>. As such we enquired Link4 on this matter. They told us that we are supposed to add the customers based on their UEN in order for the sync to work. However, we told them that as our customers are based in US, they do not have UEN number and thus it may not work. Our last communication with the platform was last month, and they did not respond to us despite our follow-up last week.</t>
    </r>
  </si>
  <si>
    <t>Junie Tay (GEN-R&amp;D)</t>
  </si>
  <si>
    <r>
      <t xml:space="preserve">Not related to Quickbook online version.
Consulted GIN team and replied to TP.
</t>
    </r>
    <r>
      <rPr>
        <sz val="12"/>
        <color rgb="FFC00000"/>
        <rFont val="Aptos"/>
        <family val="2"/>
      </rPr>
      <t xml:space="preserve">Lack of support and response from solution provider.
</t>
    </r>
  </si>
  <si>
    <t>9/5/2026</t>
  </si>
  <si>
    <t>IS WORKZ STUDIO PTE LTD</t>
  </si>
  <si>
    <t>Wong Xiu Rong</t>
  </si>
  <si>
    <t>wg.weiqi@gmail.com</t>
  </si>
  <si>
    <r>
      <t>We would like to register GST for my company; however, I understand that e-invoicing is now compulsory. After checking with my accounting system (Quickbooks online), I was informed that this e-invoicing system has not yet been launched. They are currently in the process of preparing the system for use. Therefore, we would like to request</t>
    </r>
    <r>
      <rPr>
        <b/>
        <sz val="12"/>
        <color theme="1"/>
        <rFont val="Aptos"/>
        <family val="2"/>
      </rPr>
      <t xml:space="preserve"> a temporary waiver</t>
    </r>
    <r>
      <rPr>
        <sz val="12"/>
        <color theme="1"/>
        <rFont val="Aptos"/>
        <family val="2"/>
      </rPr>
      <t xml:space="preserve"> from the compulsory e-invoicing requirement</t>
    </r>
    <r>
      <rPr>
        <b/>
        <sz val="12"/>
        <color theme="1"/>
        <rFont val="Aptos"/>
        <family val="2"/>
      </rPr>
      <t xml:space="preserve"> until Quickbooks has launced this service.</t>
    </r>
  </si>
  <si>
    <r>
      <t xml:space="preserve">TP first wrote in via MTM on 28 Apr 2026 and we have rejected the request on 6 May 2026.
This is the 2nd email from TP and we have rejected the request on 12 May 2026.  
TP has appealed again on 13 May 2026 and we have not responded to TP yet.  
</t>
    </r>
    <r>
      <rPr>
        <sz val="12"/>
        <color rgb="FFC00000"/>
        <rFont val="Aptos Narrow"/>
        <family val="2"/>
        <scheme val="minor"/>
      </rPr>
      <t>Solution Provider is not InvoiceNow-ready. Led TP into thinking that they are in the midst of accreditation with no clear timeline.</t>
    </r>
  </si>
  <si>
    <t>11/6/2026</t>
  </si>
  <si>
    <t>SATTVA ENTERPRISES PTE. LTD.</t>
  </si>
  <si>
    <t>MR PRAKASH CHAKRAVARTY</t>
  </si>
  <si>
    <t>ADMIN@SAFFRONINV.COM</t>
  </si>
  <si>
    <t>OCBC Velocity</t>
  </si>
  <si>
    <t>TP called the Velocity helpline (6538 1111) on 9 Jun 2026. He shared that he was on the phone with Velocity staff for over an hour but was unable to obtain any guidance. He specifically stated that the staff were unaware of InvoiceNow. He informed the officer that he would call Velocity again the following day.
On 11 Jun 2026, the TP called again and shared that his second call with Velocity on 10 Jun 2026 was also unhelpful. He mentioned that he had been transferred to multiple staff members, none of whom were able to provide proper guidance on InvoiceNow-related matters. He noted that Velocity has a guide on InvoiceNow but commented that it is not detailed enough.
The TP shared that he had resorted to troubleshooting on his own by guessing what needed to be entered in the software. For example, the unit field had to be set to "1" and the item field had to be set to "nil" in order for the transaction to be successfully transmitted to IRAS. He also noted that the interface, which he accessed via computer rather than the mobile app, is not user-friendly.
The officer suggested that he consider changing his software provider. He mentioned that he is considering DataPost Pte Ltd, as he does not wish to change his existing accounting software (Tally Solution) and would prefer to engage an Access Point provider instead.</t>
  </si>
  <si>
    <r>
      <t xml:space="preserve">Officer reached out to the TP (Mr Prakash) on 8 Jun 2026 to request that he transmit the relevant invoice data to us. For this TP, the submission is specifically of Type 3. We directed him to our ETG and advised him to contact his solution provider for guidance on how to transmit data to IRAS.
</t>
    </r>
    <r>
      <rPr>
        <sz val="12"/>
        <color rgb="FFC00000"/>
        <rFont val="Aptos Narrow"/>
        <family val="2"/>
        <scheme val="minor"/>
      </rPr>
      <t xml:space="preserve">Lack of support from solution provider.
</t>
    </r>
    <r>
      <rPr>
        <sz val="12"/>
        <color theme="4"/>
        <rFont val="Aptos Narrow"/>
        <family val="2"/>
        <scheme val="minor"/>
      </rPr>
      <t xml:space="preserve">[GIN internal note: OCBC Velocity has informed IMDA of its intentions to halt their InvoiceNow services] </t>
    </r>
  </si>
  <si>
    <t>OCEANCREST PTE. LTD.</t>
  </si>
  <si>
    <t>Queenie</t>
  </si>
  <si>
    <t xml:space="preserve"> operations@oceancrestsg.com</t>
  </si>
  <si>
    <t>TP had approached Xero seeking assistance with sales data transmission, which appears to fall under Type 2 Submission: Supply Transaction made outside the InvoiceNow Network (solution-extracted invoice). 
Unfortunately, Xero’s response to TP has been rather lacking.</t>
  </si>
  <si>
    <t>Lim Jia Ying (Taskforce)</t>
  </si>
  <si>
    <r>
      <t xml:space="preserve">TP does not know how to trasmit invoice data via the solution-extract submission method. 
</t>
    </r>
    <r>
      <rPr>
        <sz val="12"/>
        <color rgb="FFC00000"/>
        <rFont val="Aptos Narrow"/>
        <family val="2"/>
        <scheme val="minor"/>
      </rPr>
      <t>Lack of support from Solution Provider.</t>
    </r>
  </si>
  <si>
    <t xml:space="preserve">BROAD HORIZONS PTE. LTD. </t>
  </si>
  <si>
    <t>Michael Wong</t>
  </si>
  <si>
    <t>michael@michaelwong.com.au</t>
  </si>
  <si>
    <t>Link4</t>
  </si>
  <si>
    <t>TP highlighted in their email with Link4 that there is missing 9% GST rate in the dropdown box. Link4 has yet to update TP on follow-up resolutions</t>
  </si>
  <si>
    <t>Lack of timely support from Solution Provider.
Solution Readiness Issues.</t>
  </si>
  <si>
    <t>Secure Dimension Pte Ltd</t>
  </si>
  <si>
    <t>Sunil Jiwatram Dadlani</t>
  </si>
  <si>
    <t>sunil.dadlani@secure-dimension.com</t>
  </si>
  <si>
    <t>MYOB Premier for Windows</t>
  </si>
  <si>
    <t>I would like to provide feedback regarding the practical challenges faced by businesses adopting GST InvoiceNow where legacy accounting software is involved.
My business currently uses a perpetual MYOB/ABSS licence. Recently, ABSS notified customers that it will be decommissioning the Activation &amp; Confirmation Server supporting older MYOB/ABSS versions. As a result, affected software versions will become read-only from 30 June 2026 unless customers upgrade. I have attached the vendor's notification for reference.
I fully support IRAS's GST InvoiceNow initiative and appreciate the upcoming GST InvoiceNow webinars and InvoiceNow Fair scheduled in July 2026. These events will help businesses better understand the available options and implementation approaches.
However, some businesses that previously invested in perpetual licences may now face software upgrade decisions within a relatively short timeframe due to vendor decommissioning activities.
I understand that IRAS cannot direct software vendors on their commercial decisions. My intention is simply to highlight the impact on businesses that are still evaluating their GST InvoiceNow options and planning their migration approach.
If IRAS has opportunities to engage software vendors such as MYOB/ABSS and ecosystem partners, I hope consideration can be given to encouraging reasonable transition arrangements or additional flexibility for affected businesses. This would allow businesses to attend the upcoming IRAS engagements, better understand the requirements, and make more informed decisions regarding their future accounting software and GST InvoiceNow implementation plans.</t>
  </si>
  <si>
    <t>Solution Provider is not InvoiceNow-Ready</t>
  </si>
  <si>
    <t>16/6/2026</t>
  </si>
  <si>
    <t>37 INVESTMENT PTE. LTD.</t>
  </si>
  <si>
    <t>MR HENG CHEE WEE, HANSON</t>
  </si>
  <si>
    <t>ASKBSFS@GMAIL.COM</t>
  </si>
  <si>
    <r>
      <t xml:space="preserve">TP sent tax mail dated 9 Jun 2026 explaining his difficulties in transmitting InvoiceNow data. We spoke to the TP, Mr Hanson, on 12 Jun 2026 to better understand the issues he was facing. Based on his tax mail and our call, we understand that the TP is mainly facing difficulties transmitting sales and purchases data that had been recorded via manual journal entries. The TP explained that Xero had recommended:
</t>
    </r>
    <r>
      <rPr>
        <i/>
        <sz val="12"/>
        <color theme="1"/>
        <rFont val="Aptos"/>
        <family val="2"/>
      </rPr>
      <t>“use a manual journal entry to record the property purchase, loan liability and associated settlements correctly. in addition, the property is operating and tenanted, 1 day of rental income was used to offset the purchase settlement of the consideration to be paid”</t>
    </r>
  </si>
  <si>
    <r>
      <t xml:space="preserve">We have advised the TP to transmit his other sales and purchases invoice data to us in the meantime, while we check internally on how to better advise him on transmitting the sales and purchases data that was created via manual journal entries.
</t>
    </r>
    <r>
      <rPr>
        <sz val="12"/>
        <color rgb="FFC00000"/>
        <rFont val="Aptos Narrow"/>
        <family val="2"/>
        <scheme val="minor"/>
      </rPr>
      <t>Lack of support from solution provider</t>
    </r>
  </si>
  <si>
    <t>24/6/2026</t>
  </si>
  <si>
    <t>WAH LIN PTE. LTD.</t>
  </si>
  <si>
    <t>Cheryl Tan</t>
  </si>
  <si>
    <t>cheryl.silin@gmail.com</t>
  </si>
  <si>
    <t>Appreciate your call earlier this week. I do have some questions as this InvoiceNow system is rather new to us. 
As we registered for PEPPOL ID on velocity, but was using another 3rd party accounting system, how do we submit the past invoices to IRAS? 
It seems that if i were to log the past invoices that have been paid via Velocity, it would create imbalance for our accounting.
Appreciate your advise on this please.</t>
  </si>
  <si>
    <r>
      <t xml:space="preserve">To follow up with OCBC Velocity on the comms to their clients on any transition plans. 
Officer will follow up with TP to seek Velocity's support in the meantime.
</t>
    </r>
    <r>
      <rPr>
        <sz val="12"/>
        <color theme="4"/>
        <rFont val="Aptos Narrow"/>
        <family val="2"/>
        <scheme val="minor"/>
      </rPr>
      <t xml:space="preserve">[GIN internal note: OCBC Velocity has informed IMDA of its intentions to halt their InvoiceNow services] </t>
    </r>
  </si>
  <si>
    <t>25/6/2026</t>
  </si>
  <si>
    <t xml:space="preserve">Link4 has updated the system to include the dropdown for the 9% GST rate in the dropdown box and have provided an email to TP accordingly on 15 Jun 2026. TP had initially reached out to Link4 on 16 Jun 2026, and followed up with chaser emails on 18 and 23 Jun 2026, but did not receive a timely reply.
Hence, TP had contacted me expressing some frustration due to the lack of response from Link4. 
</t>
  </si>
  <si>
    <t>Actual_Query</t>
  </si>
  <si>
    <t>Final_Reply</t>
  </si>
</sst>
</file>

<file path=xl/styles.xml><?xml version="1.0" encoding="utf-8"?>
<styleSheet xmlns="http://schemas.openxmlformats.org/spreadsheetml/2006/main" xmlns:mc="http://schemas.openxmlformats.org/markup-compatibility/2006" xmlns:x14ac="http://schemas.microsoft.com/office/spreadsheetml/2009/9/ac" mc:Ignorable="x14ac">
  <fonts count="25">
    <font>
      <sz val="11"/>
      <color theme="1"/>
      <name val="Aptos Narrow"/>
      <family val="2"/>
      <scheme val="minor"/>
    </font>
    <font>
      <b/>
      <sz val="11"/>
      <color theme="1"/>
      <name val="Aptos Narrow"/>
      <family val="2"/>
      <scheme val="minor"/>
    </font>
    <font>
      <i/>
      <sz val="11"/>
      <color theme="1"/>
      <name val="Aptos Narrow"/>
      <family val="2"/>
      <scheme val="minor"/>
    </font>
    <font>
      <b/>
      <sz val="10"/>
      <color theme="1"/>
      <name val="Arial"/>
      <family val="2"/>
    </font>
    <font>
      <sz val="10"/>
      <color theme="1"/>
      <name val="Arial"/>
      <family val="2"/>
    </font>
    <font>
      <sz val="10"/>
      <name val="Arial"/>
      <family val="2"/>
    </font>
    <font>
      <i/>
      <sz val="8"/>
      <color theme="0" tint="-0.499984740745262"/>
      <name val="Aptos Narrow"/>
      <family val="2"/>
      <scheme val="minor"/>
    </font>
    <font>
      <sz val="8"/>
      <name val="Aptos Narrow"/>
      <family val="2"/>
      <scheme val="minor"/>
    </font>
    <font>
      <sz val="11"/>
      <color rgb="FF000000"/>
      <name val="Aptos Narrow"/>
      <family val="2"/>
      <scheme val="minor"/>
    </font>
    <font>
      <sz val="12"/>
      <color theme="1"/>
      <name val="Aptos Narrow"/>
      <family val="2"/>
      <scheme val="minor"/>
    </font>
    <font>
      <sz val="12"/>
      <color theme="1"/>
      <name val="Aptos"/>
      <family val="2"/>
    </font>
    <font>
      <sz val="12"/>
      <color rgb="FFC00000"/>
      <name val="Aptos Narrow"/>
      <family val="2"/>
      <scheme val="minor"/>
    </font>
    <font>
      <i/>
      <sz val="12"/>
      <color theme="1"/>
      <name val="Aptos"/>
      <family val="2"/>
    </font>
    <font>
      <u/>
      <sz val="11"/>
      <color theme="10"/>
      <name val="Aptos Narrow"/>
      <family val="2"/>
      <scheme val="minor"/>
    </font>
    <font>
      <sz val="12"/>
      <color theme="4"/>
      <name val="Aptos Narrow"/>
      <family val="2"/>
      <scheme val="minor"/>
    </font>
    <font>
      <b/>
      <sz val="12"/>
      <color theme="1"/>
      <name val="Aptos"/>
      <family val="2"/>
    </font>
    <font>
      <sz val="12"/>
      <color rgb="FFC00000"/>
      <name val="Aptos"/>
      <family val="2"/>
    </font>
    <font>
      <u/>
      <sz val="12"/>
      <color theme="10"/>
      <name val="Aptos Narrow"/>
      <family val="2"/>
      <scheme val="minor"/>
    </font>
    <font>
      <sz val="30"/>
      <color theme="1"/>
      <name val="Aptos Narrow"/>
      <family val="2"/>
      <scheme val="minor"/>
    </font>
    <font>
      <sz val="12"/>
      <color theme="3" tint="0.499984740745262"/>
      <name val="Aptos"/>
      <family val="2"/>
    </font>
    <font>
      <sz val="12"/>
      <color theme="7"/>
      <name val="Aptos"/>
      <family val="2"/>
    </font>
    <font>
      <b/>
      <sz val="12"/>
      <color theme="0"/>
      <name val="Aptos"/>
      <family val="2"/>
    </font>
    <font>
      <sz val="12"/>
      <name val="Aptos"/>
      <family val="2"/>
    </font>
    <font>
      <sz val="12"/>
      <color theme="1"/>
      <name val="Aptos"/>
    </font>
    <font>
      <sz val="12"/>
      <color theme="1"/>
      <name val="Aptos"/>
      <charset val="1"/>
    </font>
  </fonts>
  <fills count="8">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81">
    <xf numFmtId="0" fontId="0" fillId="0" borderId="0" xfId="0"/>
    <xf numFmtId="0" fontId="5" fillId="0" borderId="1" xfId="0" applyFont="1" applyBorder="1" applyAlignment="1">
      <alignment vertical="top" wrapText="1"/>
    </xf>
    <xf numFmtId="0" fontId="5" fillId="0" borderId="1" xfId="0" applyFont="1" applyBorder="1" applyAlignment="1">
      <alignment wrapText="1"/>
    </xf>
    <xf numFmtId="0" fontId="0" fillId="0" borderId="0" xfId="0" applyAlignment="1">
      <alignment vertical="top" wrapText="1"/>
    </xf>
    <xf numFmtId="0" fontId="1" fillId="0" borderId="2" xfId="0" applyFont="1" applyBorder="1" applyAlignment="1">
      <alignment horizontal="center" vertical="center"/>
    </xf>
    <xf numFmtId="0" fontId="6" fillId="0" borderId="3" xfId="0" applyFont="1" applyBorder="1" applyAlignment="1">
      <alignment horizontal="center" vertical="top" wrapText="1"/>
    </xf>
    <xf numFmtId="0" fontId="1" fillId="3" borderId="2" xfId="0" applyFont="1" applyFill="1" applyBorder="1" applyAlignment="1">
      <alignment horizontal="center" vertical="center"/>
    </xf>
    <xf numFmtId="0" fontId="6" fillId="3" borderId="3" xfId="0" applyFont="1" applyFill="1" applyBorder="1" applyAlignment="1">
      <alignment horizontal="center" vertical="top" wrapText="1"/>
    </xf>
    <xf numFmtId="0" fontId="4" fillId="0" borderId="4" xfId="0" applyFont="1" applyBorder="1" applyAlignment="1">
      <alignment horizontal="center"/>
    </xf>
    <xf numFmtId="0" fontId="5" fillId="0" borderId="5" xfId="0" applyFont="1" applyBorder="1" applyAlignment="1">
      <alignment vertical="top" wrapText="1"/>
    </xf>
    <xf numFmtId="0" fontId="5" fillId="0" borderId="5" xfId="0" applyFont="1" applyBorder="1" applyAlignment="1">
      <alignment wrapText="1"/>
    </xf>
    <xf numFmtId="0" fontId="3" fillId="0" borderId="6" xfId="0" applyFont="1" applyBorder="1" applyAlignment="1">
      <alignment horizontal="center"/>
    </xf>
    <xf numFmtId="0" fontId="3" fillId="0" borderId="7" xfId="0" applyFont="1" applyBorder="1" applyAlignment="1">
      <alignment horizontal="center" vertical="top" wrapText="1"/>
    </xf>
    <xf numFmtId="0" fontId="4" fillId="0" borderId="8" xfId="0" applyFont="1" applyBorder="1" applyAlignment="1">
      <alignment horizontal="center"/>
    </xf>
    <xf numFmtId="0" fontId="5" fillId="0" borderId="9" xfId="0" applyFont="1" applyBorder="1" applyAlignment="1">
      <alignment vertical="top" wrapText="1"/>
    </xf>
    <xf numFmtId="0" fontId="3" fillId="0" borderId="3" xfId="0" applyFont="1" applyBorder="1" applyAlignment="1">
      <alignment horizontal="center" vertical="top" wrapText="1"/>
    </xf>
    <xf numFmtId="0" fontId="5" fillId="0" borderId="2" xfId="0" applyFont="1" applyBorder="1" applyAlignment="1">
      <alignment vertical="top" wrapText="1"/>
    </xf>
    <xf numFmtId="0" fontId="1" fillId="4" borderId="2" xfId="0" applyFont="1" applyFill="1" applyBorder="1" applyAlignment="1">
      <alignment horizontal="center" vertical="center"/>
    </xf>
    <xf numFmtId="0" fontId="6" fillId="4" borderId="3" xfId="0" applyFont="1" applyFill="1" applyBorder="1" applyAlignment="1">
      <alignment horizontal="center" vertical="top" wrapText="1"/>
    </xf>
    <xf numFmtId="15" fontId="0" fillId="0" borderId="1" xfId="0" applyNumberFormat="1" applyBorder="1" applyAlignment="1">
      <alignment vertical="center" wrapText="1"/>
    </xf>
    <xf numFmtId="0" fontId="0" fillId="0" borderId="1" xfId="0" applyBorder="1" applyAlignment="1">
      <alignment vertical="center" wrapText="1"/>
    </xf>
    <xf numFmtId="1" fontId="0" fillId="0" borderId="1" xfId="0" applyNumberFormat="1" applyBorder="1" applyAlignment="1">
      <alignment vertical="center" wrapText="1"/>
    </xf>
    <xf numFmtId="0" fontId="2" fillId="2" borderId="1" xfId="0" applyFont="1" applyFill="1" applyBorder="1" applyAlignment="1">
      <alignment vertical="center" wrapText="1"/>
    </xf>
    <xf numFmtId="0" fontId="0" fillId="2" borderId="1" xfId="0" applyFill="1" applyBorder="1" applyAlignment="1">
      <alignment vertical="center" wrapText="1"/>
    </xf>
    <xf numFmtId="17" fontId="0" fillId="0" borderId="1" xfId="0" applyNumberFormat="1" applyBorder="1" applyAlignment="1">
      <alignment horizontal="left" vertical="center" wrapText="1"/>
    </xf>
    <xf numFmtId="0" fontId="0" fillId="0" borderId="2" xfId="0" applyBorder="1" applyAlignment="1">
      <alignment vertical="center" wrapText="1"/>
    </xf>
    <xf numFmtId="15" fontId="0" fillId="0" borderId="2" xfId="0" applyNumberFormat="1" applyBorder="1" applyAlignment="1">
      <alignment vertical="center" wrapText="1"/>
    </xf>
    <xf numFmtId="0" fontId="0" fillId="0" borderId="1" xfId="0" applyBorder="1" applyAlignment="1">
      <alignment vertical="center"/>
    </xf>
    <xf numFmtId="15" fontId="0" fillId="0" borderId="1" xfId="0" applyNumberFormat="1" applyBorder="1" applyAlignment="1">
      <alignment vertical="center"/>
    </xf>
    <xf numFmtId="0" fontId="0" fillId="0" borderId="0" xfId="0" applyAlignment="1">
      <alignment horizontal="left" vertical="top"/>
    </xf>
    <xf numFmtId="0" fontId="8" fillId="0" borderId="1" xfId="0" applyFont="1" applyBorder="1" applyAlignment="1">
      <alignment vertical="center" wrapText="1"/>
    </xf>
    <xf numFmtId="15" fontId="0" fillId="0" borderId="1" xfId="0" applyNumberFormat="1" applyBorder="1" applyAlignment="1">
      <alignment wrapText="1"/>
    </xf>
    <xf numFmtId="0" fontId="9" fillId="0" borderId="0" xfId="0" applyFont="1" applyAlignment="1">
      <alignment horizontal="left" vertical="top"/>
    </xf>
    <xf numFmtId="0" fontId="10" fillId="0" borderId="10" xfId="0" applyFont="1" applyBorder="1" applyAlignment="1">
      <alignment horizontal="left" vertical="top" wrapText="1"/>
    </xf>
    <xf numFmtId="0" fontId="9" fillId="0" borderId="11" xfId="0" applyFont="1" applyBorder="1" applyAlignment="1">
      <alignment horizontal="left" vertical="top" wrapText="1"/>
    </xf>
    <xf numFmtId="0" fontId="13" fillId="0" borderId="10" xfId="1" applyBorder="1" applyAlignment="1">
      <alignment horizontal="left" vertical="top" wrapText="1"/>
    </xf>
    <xf numFmtId="49" fontId="10" fillId="0" borderId="10" xfId="0" quotePrefix="1" applyNumberFormat="1" applyFont="1" applyBorder="1" applyAlignment="1">
      <alignment horizontal="left" vertical="top"/>
    </xf>
    <xf numFmtId="0" fontId="10" fillId="0" borderId="12" xfId="0" applyFont="1" applyBorder="1" applyAlignment="1">
      <alignment horizontal="left" vertical="top" wrapText="1"/>
    </xf>
    <xf numFmtId="0" fontId="11" fillId="0" borderId="11" xfId="0" applyFont="1" applyBorder="1" applyAlignment="1">
      <alignment horizontal="left" vertical="top" wrapText="1"/>
    </xf>
    <xf numFmtId="0" fontId="10" fillId="0" borderId="13" xfId="0" applyFont="1" applyBorder="1" applyAlignment="1">
      <alignment horizontal="left" vertical="top" wrapText="1"/>
    </xf>
    <xf numFmtId="0" fontId="11" fillId="0" borderId="14" xfId="0" applyFont="1" applyBorder="1" applyAlignment="1">
      <alignment horizontal="left" vertical="top" wrapText="1"/>
    </xf>
    <xf numFmtId="0" fontId="13" fillId="0" borderId="13" xfId="1" applyBorder="1" applyAlignment="1">
      <alignment horizontal="left" vertical="top" wrapText="1"/>
    </xf>
    <xf numFmtId="49" fontId="10" fillId="0" borderId="13" xfId="0" quotePrefix="1" applyNumberFormat="1" applyFont="1" applyBorder="1" applyAlignment="1">
      <alignment horizontal="left" vertical="top"/>
    </xf>
    <xf numFmtId="0" fontId="10" fillId="0" borderId="11" xfId="0" applyFont="1" applyBorder="1" applyAlignment="1">
      <alignment horizontal="left" vertical="top" wrapText="1"/>
    </xf>
    <xf numFmtId="49" fontId="10" fillId="0" borderId="10" xfId="0" quotePrefix="1" applyNumberFormat="1" applyFont="1" applyBorder="1" applyAlignment="1">
      <alignment horizontal="left" vertical="top" wrapText="1"/>
    </xf>
    <xf numFmtId="0" fontId="10" fillId="0" borderId="0" xfId="0" applyFont="1" applyAlignment="1">
      <alignment vertical="top" wrapText="1"/>
    </xf>
    <xf numFmtId="0" fontId="10" fillId="0" borderId="10" xfId="0" applyFont="1" applyBorder="1" applyAlignment="1">
      <alignment vertical="top" wrapText="1"/>
    </xf>
    <xf numFmtId="49" fontId="10" fillId="0" borderId="0" xfId="0" quotePrefix="1" applyNumberFormat="1" applyFont="1" applyAlignment="1">
      <alignment vertical="top"/>
    </xf>
    <xf numFmtId="0" fontId="10" fillId="0" borderId="15" xfId="0" applyFont="1" applyBorder="1" applyAlignment="1">
      <alignment horizontal="left" vertical="top" wrapText="1"/>
    </xf>
    <xf numFmtId="0" fontId="10" fillId="0" borderId="11" xfId="0" applyFont="1" applyBorder="1" applyAlignment="1">
      <alignment horizontal="left" vertical="top" wrapText="1" shrinkToFit="1"/>
    </xf>
    <xf numFmtId="0" fontId="17" fillId="0" borderId="10" xfId="1" applyFont="1" applyBorder="1" applyAlignment="1">
      <alignment horizontal="left" vertical="top" wrapText="1"/>
    </xf>
    <xf numFmtId="0" fontId="15" fillId="7" borderId="15" xfId="0" applyFont="1" applyFill="1" applyBorder="1" applyAlignment="1">
      <alignment horizontal="left" vertical="top" wrapText="1"/>
    </xf>
    <xf numFmtId="0" fontId="15" fillId="0" borderId="16" xfId="0" applyFont="1" applyBorder="1" applyAlignment="1">
      <alignment horizontal="left" vertical="top" wrapText="1"/>
    </xf>
    <xf numFmtId="0" fontId="15" fillId="0" borderId="15" xfId="0" applyFont="1" applyBorder="1" applyAlignment="1">
      <alignment horizontal="left" vertical="top" wrapText="1"/>
    </xf>
    <xf numFmtId="0" fontId="15" fillId="0" borderId="17" xfId="0" applyFont="1" applyBorder="1" applyAlignment="1">
      <alignment horizontal="left" vertical="top" wrapText="1"/>
    </xf>
    <xf numFmtId="0" fontId="0" fillId="0" borderId="0" xfId="0" applyAlignment="1">
      <alignment vertical="center" wrapText="1"/>
    </xf>
    <xf numFmtId="0" fontId="18" fillId="5" borderId="0" xfId="0" applyFont="1" applyFill="1"/>
    <xf numFmtId="0" fontId="0" fillId="0" borderId="0" xfId="0" applyAlignment="1">
      <alignment wrapText="1"/>
    </xf>
    <xf numFmtId="0" fontId="18" fillId="4" borderId="0" xfId="0" applyFont="1" applyFill="1"/>
    <xf numFmtId="0" fontId="18" fillId="6" borderId="0" xfId="0" applyFont="1" applyFill="1"/>
    <xf numFmtId="0" fontId="19" fillId="0" borderId="15" xfId="0" applyFont="1" applyBorder="1" applyAlignment="1">
      <alignment horizontal="left" vertical="top" wrapText="1"/>
    </xf>
    <xf numFmtId="0" fontId="20" fillId="0" borderId="15" xfId="0" applyFont="1" applyBorder="1" applyAlignment="1">
      <alignment horizontal="left" vertical="top" wrapText="1"/>
    </xf>
    <xf numFmtId="49" fontId="10" fillId="0" borderId="10" xfId="0" applyNumberFormat="1" applyFont="1" applyBorder="1" applyAlignment="1">
      <alignment horizontal="left" vertical="top"/>
    </xf>
    <xf numFmtId="0" fontId="21" fillId="7" borderId="15" xfId="0" applyFont="1" applyFill="1" applyBorder="1" applyAlignment="1">
      <alignment horizontal="left" vertical="top" wrapText="1"/>
    </xf>
    <xf numFmtId="0" fontId="22" fillId="0" borderId="15" xfId="0" applyFont="1" applyBorder="1" applyAlignment="1">
      <alignment horizontal="left" vertical="top" wrapText="1"/>
    </xf>
    <xf numFmtId="0" fontId="22" fillId="0" borderId="10" xfId="0" applyFont="1" applyBorder="1" applyAlignment="1">
      <alignment horizontal="left" vertical="top" wrapText="1"/>
    </xf>
    <xf numFmtId="0" fontId="22" fillId="0" borderId="13" xfId="0" applyFont="1" applyBorder="1" applyAlignment="1">
      <alignment horizontal="left" vertical="top" wrapText="1"/>
    </xf>
    <xf numFmtId="0" fontId="23" fillId="0" borderId="12" xfId="0" applyFont="1" applyBorder="1" applyAlignment="1">
      <alignment horizontal="left" vertical="top" wrapText="1"/>
    </xf>
    <xf numFmtId="14" fontId="10" fillId="0" borderId="10" xfId="0" applyNumberFormat="1" applyFont="1" applyBorder="1" applyAlignment="1">
      <alignment horizontal="left" vertical="top" wrapText="1"/>
    </xf>
    <xf numFmtId="17" fontId="10" fillId="0" borderId="10" xfId="0" applyNumberFormat="1" applyFont="1" applyBorder="1" applyAlignment="1">
      <alignment horizontal="left" vertical="top" wrapText="1"/>
    </xf>
    <xf numFmtId="0" fontId="9" fillId="0" borderId="14" xfId="0" applyFont="1" applyBorder="1" applyAlignment="1">
      <alignment horizontal="left" vertical="top" wrapText="1"/>
    </xf>
    <xf numFmtId="0" fontId="1" fillId="4" borderId="9" xfId="0" applyFont="1" applyFill="1" applyBorder="1" applyAlignment="1">
      <alignment horizontal="center" vertical="center"/>
    </xf>
    <xf numFmtId="0" fontId="6" fillId="4" borderId="7" xfId="0" applyFont="1" applyFill="1" applyBorder="1" applyAlignment="1">
      <alignment horizontal="center" vertical="top" wrapText="1"/>
    </xf>
    <xf numFmtId="15" fontId="0" fillId="0" borderId="5" xfId="0" applyNumberFormat="1" applyBorder="1" applyAlignment="1">
      <alignment vertical="center" wrapText="1"/>
    </xf>
    <xf numFmtId="15" fontId="0" fillId="0" borderId="9" xfId="0" applyNumberFormat="1" applyBorder="1" applyAlignment="1">
      <alignment vertical="center" wrapText="1"/>
    </xf>
    <xf numFmtId="0" fontId="0" fillId="2" borderId="5" xfId="0" applyFill="1" applyBorder="1" applyAlignment="1">
      <alignment vertical="center" wrapText="1"/>
    </xf>
    <xf numFmtId="0" fontId="1" fillId="4" borderId="1" xfId="0" applyFont="1" applyFill="1" applyBorder="1" applyAlignment="1">
      <alignment horizontal="center" vertical="center"/>
    </xf>
    <xf numFmtId="0" fontId="6" fillId="4" borderId="1" xfId="0" applyFont="1" applyFill="1" applyBorder="1" applyAlignment="1">
      <alignment horizontal="center" vertical="top" wrapText="1"/>
    </xf>
    <xf numFmtId="0" fontId="24" fillId="0" borderId="1" xfId="0" applyFont="1" applyBorder="1" applyAlignment="1">
      <alignment wrapText="1"/>
    </xf>
    <xf numFmtId="0" fontId="0" fillId="2" borderId="2" xfId="0" applyFill="1" applyBorder="1" applyAlignment="1">
      <alignment vertical="center" wrapText="1"/>
    </xf>
    <xf numFmtId="15" fontId="24" fillId="0" borderId="1" xfId="0" applyNumberFormat="1" applyFont="1" applyBorder="1" applyAlignment="1">
      <alignment wrapText="1"/>
    </xf>
  </cellXfs>
  <cellStyles count="2">
    <cellStyle name="Hyperlink" xfId="1" builtinId="8"/>
    <cellStyle name="Normal" xfId="0" builtinId="0"/>
  </cellStyles>
  <dxfs count="121">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3" tint="0.89996032593768116"/>
        </patternFill>
      </fill>
    </dxf>
    <dxf>
      <font>
        <strike val="0"/>
        <color auto="1"/>
      </font>
      <fill>
        <patternFill>
          <bgColor theme="3" tint="0.89996032593768116"/>
        </patternFill>
      </fill>
    </dxf>
    <dxf>
      <font>
        <strike val="0"/>
        <color auto="1"/>
      </font>
      <fill>
        <patternFill>
          <bgColor theme="3" tint="0.89996032593768116"/>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3" tint="0.89996032593768116"/>
        </patternFill>
      </fill>
    </dxf>
    <dxf>
      <font>
        <strike val="0"/>
        <color auto="1"/>
      </font>
      <fill>
        <patternFill>
          <bgColor theme="3" tint="0.89996032593768116"/>
        </patternFill>
      </fill>
    </dxf>
    <dxf>
      <font>
        <strike val="0"/>
        <color auto="1"/>
      </font>
      <fill>
        <patternFill>
          <bgColor theme="3" tint="0.89996032593768116"/>
        </patternFill>
      </fill>
    </dxf>
    <dxf>
      <font>
        <strike val="0"/>
        <color auto="1"/>
      </font>
      <fill>
        <patternFill>
          <bgColor theme="6" tint="0.79998168889431442"/>
        </patternFill>
      </fill>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Narrow"/>
        <scheme val="minor"/>
      </font>
      <alignment horizontal="left"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numFmt numFmtId="30" formatCode="@"/>
      <alignment horizontal="left" vertical="top"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left/>
        <right style="medium">
          <color indexed="64"/>
        </right>
        <top style="medium">
          <color indexed="64"/>
        </top>
        <bottom style="medium">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Aptos"/>
        <scheme val="none"/>
      </font>
      <alignment horizontal="left" vertical="top" textRotation="0" wrapText="1" indent="0" justifyLastLine="0" shrinkToFit="0" readingOrder="0"/>
    </dxf>
    <dxf>
      <border outline="0">
        <bottom style="medium">
          <color indexed="64"/>
        </bottom>
      </border>
    </dxf>
    <dxf>
      <font>
        <b/>
        <i val="0"/>
        <strike val="0"/>
        <condense val="0"/>
        <extend val="0"/>
        <outline val="0"/>
        <shadow val="0"/>
        <u val="none"/>
        <vertAlign val="baseline"/>
        <sz val="12"/>
        <color theme="1"/>
        <name val="Aptos"/>
        <scheme val="none"/>
      </font>
      <alignment horizontal="left" vertical="top" textRotation="0" wrapText="1" indent="0" justifyLastLine="0" shrinkToFit="0" readingOrder="0"/>
      <border diagonalUp="0" diagonalDown="0" outline="0">
        <left style="medium">
          <color indexed="64"/>
        </left>
        <right style="medium">
          <color indexed="64"/>
        </right>
        <top/>
        <bottom/>
      </border>
    </dxf>
    <dxf>
      <fill>
        <patternFill>
          <bgColor theme="8" tint="0.79998168889431442"/>
        </patternFill>
      </fill>
    </dxf>
    <dxf>
      <fill>
        <patternFill>
          <bgColor rgb="FFF6ACA0"/>
        </patternFill>
      </fill>
    </dxf>
    <dxf>
      <fill>
        <patternFill>
          <bgColor theme="9" tint="0.79998168889431442"/>
        </patternFill>
      </fill>
    </dxf>
    <dxf>
      <numFmt numFmtId="20" formatCode="d\-mmm\-yy"/>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numFmt numFmtId="20" formatCode="d\-mmm\-yy"/>
    </dxf>
    <dxf>
      <numFmt numFmtId="20" formatCode="d\-mmm\-yy"/>
      <border diagonalUp="0" diagonalDown="0">
        <left style="thin">
          <color indexed="64"/>
        </left>
        <right style="thin">
          <color indexed="64"/>
        </right>
        <top style="thin">
          <color indexed="64"/>
        </top>
        <bottom style="thin">
          <color indexed="64"/>
        </bottom>
        <vertical/>
        <horizontal/>
      </border>
    </dxf>
    <dxf>
      <numFmt numFmtId="20" formatCode="d\-mmm\-yy"/>
    </dxf>
    <dxf>
      <numFmt numFmtId="20" formatCode="d\-mmm\-yy"/>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scheme val="minor"/>
      </font>
      <alignment horizontal="center" vertical="center" textRotation="0" wrapText="0" indent="0" justifyLastLine="0" shrinkToFit="0" readingOrder="0"/>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3" tint="0.89996032593768116"/>
        </patternFill>
      </fill>
    </dxf>
    <dxf>
      <font>
        <strike val="0"/>
        <color auto="1"/>
      </font>
      <fill>
        <patternFill>
          <bgColor theme="3" tint="0.89996032593768116"/>
        </patternFill>
      </fill>
    </dxf>
    <dxf>
      <font>
        <strike val="0"/>
        <color auto="1"/>
      </font>
      <fill>
        <patternFill>
          <bgColor theme="3" tint="0.89996032593768116"/>
        </patternFill>
      </fill>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20" formatCode="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mmm\-yy"/>
      <border diagonalUp="0" diagonalDown="0">
        <left style="thin">
          <color indexed="64"/>
        </left>
        <right style="thin">
          <color indexed="64"/>
        </right>
        <top style="thin">
          <color indexed="64"/>
        </top>
        <bottom style="thin">
          <color indexed="64"/>
        </bottom>
        <vertical/>
        <horizontal/>
      </border>
    </dxf>
    <dxf>
      <numFmt numFmtId="1"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0" formatCode="d\-mmm\-yy"/>
      <border diagonalUp="0" diagonalDown="0">
        <left style="thin">
          <color indexed="64"/>
        </left>
        <right style="thin">
          <color indexed="64"/>
        </right>
        <top style="thin">
          <color indexed="64"/>
        </top>
        <bottom style="thin">
          <color indexed="64"/>
        </bottom>
        <vertical/>
        <horizontal/>
      </border>
    </dxf>
    <dxf>
      <numFmt numFmtId="20" formatCode="d\-mmm\-yy"/>
    </dxf>
    <dxf>
      <numFmt numFmtId="20" formatCode="d\-mmm\-yy"/>
      <border diagonalUp="0" diagonalDown="0">
        <left style="thin">
          <color indexed="64"/>
        </left>
        <right style="thin">
          <color indexed="64"/>
        </right>
        <top style="thin">
          <color indexed="64"/>
        </top>
        <bottom style="thin">
          <color indexed="64"/>
        </bottom>
        <vertical/>
        <horizontal/>
      </border>
    </dxf>
    <dxf>
      <numFmt numFmtId="20" formatCode="d\-mmm\-yy"/>
    </dxf>
    <dxf>
      <numFmt numFmtId="20" formatCode="d\-mmm\-yy"/>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scheme val="minor"/>
      </font>
      <alignment horizontal="center" vertical="center" textRotation="0" wrapText="0" indent="0" justifyLastLine="0" shrinkToFit="0" readingOrder="0"/>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6"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5" tint="0.79998168889431442"/>
        </patternFill>
      </fill>
    </dxf>
    <dxf>
      <font>
        <strike val="0"/>
        <color auto="1"/>
      </font>
      <fill>
        <patternFill>
          <bgColor theme="3" tint="0.89996032593768116"/>
        </patternFill>
      </fill>
    </dxf>
    <dxf>
      <font>
        <strike val="0"/>
        <color auto="1"/>
      </font>
      <fill>
        <patternFill>
          <bgColor theme="3" tint="0.89996032593768116"/>
        </patternFill>
      </fill>
    </dxf>
    <dxf>
      <font>
        <strike val="0"/>
        <color auto="1"/>
      </font>
      <fill>
        <patternFill>
          <bgColor theme="3" tint="0.89996032593768116"/>
        </patternFill>
      </fill>
    </dxf>
    <dxf>
      <font>
        <strike val="0"/>
        <color auto="1"/>
      </font>
      <fill>
        <patternFill>
          <bgColor theme="6"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xdr:colOff>
      <xdr:row>1</xdr:row>
      <xdr:rowOff>47626</xdr:rowOff>
    </xdr:from>
    <xdr:to>
      <xdr:col>0</xdr:col>
      <xdr:colOff>6238875</xdr:colOff>
      <xdr:row>11</xdr:row>
      <xdr:rowOff>114300</xdr:rowOff>
    </xdr:to>
    <xdr:sp macro="" textlink="">
      <xdr:nvSpPr>
        <xdr:cNvPr id="2" name="Rectangle 1">
          <a:extLst>
            <a:ext uri="{FF2B5EF4-FFF2-40B4-BE49-F238E27FC236}">
              <a16:creationId xmlns:a16="http://schemas.microsoft.com/office/drawing/2014/main" xmlns="" id="{213516A7-40FA-4DC6-9C24-638254ED4E2C}"/>
            </a:ext>
          </a:extLst>
        </xdr:cNvPr>
        <xdr:cNvSpPr/>
      </xdr:nvSpPr>
      <xdr:spPr>
        <a:xfrm>
          <a:off x="44450" y="225426"/>
          <a:ext cx="561975" cy="1879599"/>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1800">
              <a:solidFill>
                <a:sysClr val="windowText" lastClr="000000"/>
              </a:solidFill>
            </a:rPr>
            <a:t>Use this tracker only for </a:t>
          </a:r>
          <a:r>
            <a:rPr lang="en-SG" sz="1800" b="1" u="sng">
              <a:solidFill>
                <a:sysClr val="windowText" lastClr="000000"/>
              </a:solidFill>
            </a:rPr>
            <a:t>feedback</a:t>
          </a:r>
          <a:r>
            <a:rPr lang="en-SG" sz="1800">
              <a:solidFill>
                <a:sysClr val="windowText" lastClr="000000"/>
              </a:solidFill>
            </a:rPr>
            <a:t> related to IRSPs and APs.</a:t>
          </a:r>
        </a:p>
        <a:p>
          <a:pPr algn="l"/>
          <a:endParaRPr lang="en-SG" sz="1800">
            <a:solidFill>
              <a:sysClr val="windowText" lastClr="000000"/>
            </a:solidFill>
          </a:endParaRPr>
        </a:p>
        <a:p>
          <a:pPr algn="l"/>
          <a:r>
            <a:rPr lang="en-SG" sz="1800">
              <a:solidFill>
                <a:sysClr val="windowText" lastClr="000000"/>
              </a:solidFill>
            </a:rPr>
            <a:t>Examples of feedback include:</a:t>
          </a:r>
        </a:p>
        <a:p>
          <a:pPr marL="285750" indent="-285750" algn="l">
            <a:buFont typeface="Arial" panose="020B0604020202020204" pitchFamily="34" charset="0"/>
            <a:buChar char="•"/>
          </a:pPr>
          <a:r>
            <a:rPr lang="en-SG" sz="1800">
              <a:solidFill>
                <a:sysClr val="windowText" lastClr="000000"/>
              </a:solidFill>
            </a:rPr>
            <a:t>Lack of support rendered</a:t>
          </a:r>
        </a:p>
        <a:p>
          <a:pPr marL="285750" indent="-285750" algn="l">
            <a:buFont typeface="Arial" panose="020B0604020202020204" pitchFamily="34" charset="0"/>
            <a:buChar char="•"/>
          </a:pPr>
          <a:r>
            <a:rPr lang="en-SG" sz="1800">
              <a:solidFill>
                <a:sysClr val="windowText" lastClr="000000"/>
              </a:solidFill>
            </a:rPr>
            <a:t>Misrepresentation of accreditation</a:t>
          </a:r>
        </a:p>
        <a:p>
          <a:pPr marL="285750" indent="-285750" algn="l">
            <a:buFont typeface="Arial" panose="020B0604020202020204" pitchFamily="34" charset="0"/>
            <a:buChar char="•"/>
          </a:pPr>
          <a:r>
            <a:rPr lang="en-SG" sz="1800">
              <a:solidFill>
                <a:sysClr val="windowText" lastClr="000000"/>
              </a:solidFill>
            </a:rPr>
            <a:t>Other service/ecosystem-related concerns</a:t>
          </a:r>
        </a:p>
      </xdr:txBody>
    </xdr:sp>
    <xdr:clientData/>
  </xdr:twoCellAnchor>
  <xdr:oneCellAnchor>
    <xdr:from>
      <xdr:col>2</xdr:col>
      <xdr:colOff>25400</xdr:colOff>
      <xdr:row>1</xdr:row>
      <xdr:rowOff>44450</xdr:rowOff>
    </xdr:from>
    <xdr:ext cx="7010766" cy="2978150"/>
    <xdr:pic>
      <xdr:nvPicPr>
        <xdr:cNvPr id="3" name="Picture 2">
          <a:extLst>
            <a:ext uri="{FF2B5EF4-FFF2-40B4-BE49-F238E27FC236}">
              <a16:creationId xmlns:a16="http://schemas.microsoft.com/office/drawing/2014/main" xmlns="" id="{DE83F1FF-4F7F-47C9-92D8-D6119BA7C3F8}"/>
            </a:ext>
          </a:extLst>
        </xdr:cNvPr>
        <xdr:cNvPicPr>
          <a:picLocks noChangeAspect="1"/>
        </xdr:cNvPicPr>
      </xdr:nvPicPr>
      <xdr:blipFill rotWithShape="1">
        <a:blip xmlns:r="http://schemas.openxmlformats.org/officeDocument/2006/relationships" r:embed="rId1"/>
        <a:srcRect l="1604" t="2464" b="1133"/>
        <a:stretch>
          <a:fillRect/>
        </a:stretch>
      </xdr:blipFill>
      <xdr:spPr>
        <a:xfrm>
          <a:off x="1247775" y="228600"/>
          <a:ext cx="7010766" cy="2978150"/>
        </a:xfrm>
        <a:prstGeom prst="rect">
          <a:avLst/>
        </a:prstGeom>
      </xdr:spPr>
    </xdr:pic>
    <xdr:clientData/>
  </xdr:oneCellAnchor>
  <xdr:oneCellAnchor>
    <xdr:from>
      <xdr:col>2</xdr:col>
      <xdr:colOff>53975</xdr:colOff>
      <xdr:row>16</xdr:row>
      <xdr:rowOff>28575</xdr:rowOff>
    </xdr:from>
    <xdr:ext cx="7023100" cy="2727465"/>
    <xdr:pic>
      <xdr:nvPicPr>
        <xdr:cNvPr id="4" name="Picture 3">
          <a:extLst>
            <a:ext uri="{FF2B5EF4-FFF2-40B4-BE49-F238E27FC236}">
              <a16:creationId xmlns:a16="http://schemas.microsoft.com/office/drawing/2014/main" xmlns="" id="{CBB1C664-39CC-41C7-BFE1-714B0976E2D6}"/>
            </a:ext>
          </a:extLst>
        </xdr:cNvPr>
        <xdr:cNvPicPr>
          <a:picLocks noChangeAspect="1"/>
        </xdr:cNvPicPr>
      </xdr:nvPicPr>
      <xdr:blipFill rotWithShape="1">
        <a:blip xmlns:r="http://schemas.openxmlformats.org/officeDocument/2006/relationships" r:embed="rId2"/>
        <a:srcRect r="4374"/>
        <a:stretch>
          <a:fillRect/>
        </a:stretch>
      </xdr:blipFill>
      <xdr:spPr>
        <a:xfrm>
          <a:off x="1273175" y="2921000"/>
          <a:ext cx="7023100" cy="2727465"/>
        </a:xfrm>
        <a:prstGeom prst="rect">
          <a:avLst/>
        </a:prstGeom>
      </xdr:spPr>
    </xdr:pic>
    <xdr:clientData/>
  </xdr:oneCellAnchor>
  <xdr:twoCellAnchor>
    <xdr:from>
      <xdr:col>0</xdr:col>
      <xdr:colOff>47625</xdr:colOff>
      <xdr:row>15</xdr:row>
      <xdr:rowOff>47625</xdr:rowOff>
    </xdr:from>
    <xdr:to>
      <xdr:col>0</xdr:col>
      <xdr:colOff>6238875</xdr:colOff>
      <xdr:row>40</xdr:row>
      <xdr:rowOff>95250</xdr:rowOff>
    </xdr:to>
    <xdr:sp macro="" textlink="">
      <xdr:nvSpPr>
        <xdr:cNvPr id="5" name="Rectangle 4">
          <a:extLst>
            <a:ext uri="{FF2B5EF4-FFF2-40B4-BE49-F238E27FC236}">
              <a16:creationId xmlns:a16="http://schemas.microsoft.com/office/drawing/2014/main" xmlns="" id="{013B5DD6-4678-4373-9E2E-0ABB0953AEC2}"/>
            </a:ext>
          </a:extLst>
        </xdr:cNvPr>
        <xdr:cNvSpPr/>
      </xdr:nvSpPr>
      <xdr:spPr>
        <a:xfrm>
          <a:off x="44450" y="2759075"/>
          <a:ext cx="561975" cy="4575175"/>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1800">
              <a:solidFill>
                <a:sysClr val="windowText" lastClr="000000"/>
              </a:solidFill>
            </a:rPr>
            <a:t>Officers</a:t>
          </a:r>
          <a:r>
            <a:rPr lang="en-SG" sz="1800" baseline="0">
              <a:solidFill>
                <a:sysClr val="windowText" lastClr="000000"/>
              </a:solidFill>
            </a:rPr>
            <a:t> receiving feedback from Taxpayers shall</a:t>
          </a:r>
          <a:r>
            <a:rPr lang="en-SG" sz="1800">
              <a:solidFill>
                <a:sysClr val="windowText" lastClr="000000"/>
              </a:solidFill>
            </a:rPr>
            <a:t>:</a:t>
          </a:r>
        </a:p>
        <a:p>
          <a:pPr algn="l"/>
          <a:endParaRPr lang="en-SG" sz="1800">
            <a:solidFill>
              <a:sysClr val="windowText" lastClr="000000"/>
            </a:solidFill>
          </a:endParaRPr>
        </a:p>
        <a:p>
          <a:pPr algn="l"/>
          <a:r>
            <a:rPr lang="en-SG" sz="1800">
              <a:solidFill>
                <a:sysClr val="windowText" lastClr="000000"/>
              </a:solidFill>
            </a:rPr>
            <a:t>1.</a:t>
          </a:r>
          <a:r>
            <a:rPr lang="en-SG" sz="1800" baseline="0">
              <a:solidFill>
                <a:sysClr val="windowText" lastClr="000000"/>
              </a:solidFill>
            </a:rPr>
            <a:t> Add a new row to input the respective case/feedback details</a:t>
          </a:r>
        </a:p>
        <a:p>
          <a:pPr algn="l"/>
          <a:r>
            <a:rPr lang="en-SG" sz="1800" baseline="0">
              <a:solidFill>
                <a:sysClr val="windowText" lastClr="000000"/>
              </a:solidFill>
            </a:rPr>
            <a:t>2. Under remarks, summarise the issue at hand while stating any interim actions taken</a:t>
          </a:r>
        </a:p>
        <a:p>
          <a:pPr algn="l"/>
          <a:r>
            <a:rPr lang="en-SG" sz="1800" baseline="0">
              <a:solidFill>
                <a:sysClr val="windowText" lastClr="000000"/>
              </a:solidFill>
            </a:rPr>
            <a:t>3. Forward the case details to GIN's mailing list for record keeping purposes. Indicate in the email that the excel tracker has been filled up.</a:t>
          </a:r>
        </a:p>
        <a:p>
          <a:pPr algn="l"/>
          <a:r>
            <a:rPr lang="en-SG" sz="1800" baseline="0">
              <a:solidFill>
                <a:sysClr val="windowText" lastClr="000000"/>
              </a:solidFill>
            </a:rPr>
            <a:t>4. To complete the steps above as and when feedback is received.</a:t>
          </a:r>
        </a:p>
        <a:p>
          <a:pPr algn="l"/>
          <a:endParaRPr lang="en-SG" sz="1800" baseline="0">
            <a:solidFill>
              <a:sysClr val="windowText" lastClr="000000"/>
            </a:solidFill>
          </a:endParaRPr>
        </a:p>
        <a:p>
          <a:pPr algn="l"/>
          <a:r>
            <a:rPr lang="en-SG" sz="1800" baseline="0">
              <a:solidFill>
                <a:sysClr val="windowText" lastClr="000000"/>
              </a:solidFill>
            </a:rPr>
            <a:t>GIN:</a:t>
          </a:r>
        </a:p>
        <a:p>
          <a:pPr algn="l"/>
          <a:r>
            <a:rPr lang="en-SG" sz="1800" baseline="0">
              <a:solidFill>
                <a:sysClr val="windowText" lastClr="000000"/>
              </a:solidFill>
            </a:rPr>
            <a:t>1. To run through the new feedback with the IMDA team every 2nd and 4th Friday of the month (or the earlier working day if this falls on PH).</a:t>
          </a:r>
        </a:p>
        <a:p>
          <a:pPr algn="l"/>
          <a:r>
            <a:rPr lang="en-SG" sz="1800" baseline="0">
              <a:solidFill>
                <a:sysClr val="windowText" lastClr="000000"/>
              </a:solidFill>
            </a:rPr>
            <a:t>2. To follow up on previous 'open' cases</a:t>
          </a:r>
        </a:p>
        <a:p>
          <a:pPr algn="l"/>
          <a:r>
            <a:rPr lang="en-SG" sz="1800" baseline="0">
              <a:solidFill>
                <a:sysClr val="windowText" lastClr="000000"/>
              </a:solidFill>
            </a:rPr>
            <a:t>3. To indicate the case status accordingly and inform the OIC accordingly of the resolution.</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S" id="{3CEF99CC-0B95-4C49-A35A-03B31C864F10}">
    <nsvFilter filterId="{0204390A-2B7D-43B5-A1E3-3ADF288927A7}" ref="A1:S103" tableId="2">
      <columnFilter colId="10" id="{2D9DF927-CB47-4445-9E48-1EB2785BC271}">
        <filter colId="10">
          <x:filters>
            <x:filter val="Clarifying with Enquirer"/>
            <x:filter val="Clearing with Stakeholders"/>
            <x:filter val="Clearing with Stakeholders /DSPS issue -Further follow-up with relevant party incl CA2 /IMDA"/>
            <x:filter val="Received"/>
          </x:filters>
        </filter>
      </columnFilter>
    </nsvFilter>
  </namedSheetView>
  <namedSheetView name="General" id="{1FE5BC81-9FD7-4F3E-9531-9691B11F99EB}">
    <nsvFilter filterId="{0204390A-2B7D-43B5-A1E3-3ADF288927A7}" ref="A1:S103" tableId="2"/>
  </namedSheetView>
  <namedSheetView name="View1" id="{38781CA2-E376-4044-B1AB-BDE3E84B0EA8}">
    <nsvFilter filterId="{0204390A-2B7D-43B5-A1E3-3ADF288927A7}" ref="A1:S103" tableId="2"/>
  </namedSheetView>
</namedSheetViews>
</file>

<file path=xl/persons/person.xml><?xml version="1.0" encoding="utf-8"?>
<personList xmlns="http://schemas.microsoft.com/office/spreadsheetml/2018/threadedcomments" xmlns:x="http://schemas.openxmlformats.org/spreadsheetml/2006/main">
  <person displayName="Gerald WONG (IRAS)" id="{EF79EEBA-D555-497D-81AC-FBF95BB70FD0}" userId="Gerald_WONG@iras.gov.sg" providerId="PeoplePicker"/>
  <person displayName="Choon Siang BEH (IRAS)" id="{35DEF3CA-9F34-4F84-891D-ED14805C63B0}" userId="BEH_Choon_Siang@iras.gov.sg" providerId="PeoplePicker"/>
  <person displayName="Angela LOH (IRAS)" id="{FD4ECDE3-FE63-443F-9B25-6A95B9544C51}" userId="S::Angela_LOH@iras.gov.sg::f083fd16-0dfb-44d4-9ada-50c2344b66bb" providerId="AD"/>
  <person displayName="Gerald WONG (IRAS)" id="{928EF303-5BDF-466F-AC7F-F2AFE58837F3}" userId="S::Gerald_WONG@iras.gov.sg::8de8138f-33a6-4346-a121-50c4c3cc00fb" providerId="AD"/>
  <person displayName="Jillian YEO (IRAS)" id="{800BB103-046D-470A-9BC2-E6FB94EBDD45}" userId="S::Jillian_YEO@iras.gov.sg::dffd55cb-6bea-4119-81e3-b4bebb8bb422" providerId="AD"/>
  <person displayName="Kenneth LIN (IRAS)" id="{DAC5DF70-BD0A-4A3F-B428-90713E9ED9B1}" userId="S::Kenneth_LIN@iras.gov.sg::e06a3790-5700-449b-849b-e6f02adf117e" providerId="AD"/>
  <person displayName="Kenneth LIN (IRAS)" id="{FED096DC-FA9E-45C9-AE55-C01A033916FF}" userId="S::kenneth_lin@iras.gov.sg::e06a3790-5700-449b-849b-e6f02adf117e" providerId="AD"/>
</personList>
</file>

<file path=xl/tables/table1.xml><?xml version="1.0" encoding="utf-8"?>
<table xmlns="http://schemas.openxmlformats.org/spreadsheetml/2006/main" id="2" name="TrackerTable" displayName="TrackerTable" ref="A1:S103" totalsRowShown="0" headerRowDxfId="106">
  <tableColumns count="19">
    <tableColumn id="1" name="No."/>
    <tableColumn id="2" name="Enquirer's Organisation"/>
    <tableColumn id="3" name="Enquirer's Name &amp; Contact"/>
    <tableColumn id="5" name="Query Channel"/>
    <tableColumn id="6" name="Query Topic"/>
    <tableColumn id="7" name="Query Category"/>
    <tableColumn id="15" name="Query Date" dataDxfId="105"/>
    <tableColumn id="8" name="Receive Date" dataDxfId="104"/>
    <tableColumn id="16" name="Query Group" dataDxfId="103"/>
    <tableColumn id="9" name="Assigned To"/>
    <tableColumn id="10" name="Status"/>
    <tableColumn id="11" name="Completion Date" dataDxfId="102"/>
    <tableColumn id="4" name="Mark for FAQ" dataDxfId="101"/>
    <tableColumn id="12" name="Total Turnover Days"/>
    <tableColumn id="13" name="Actual Turnover Days" dataDxfId="100"/>
    <tableColumn id="14" name="Processing Turnover Days" dataDxfId="99"/>
    <tableColumn id="24" name="Included in Support Updates" dataDxfId="98"/>
    <tableColumn id="17" name="Actual Query" dataDxfId="97"/>
    <tableColumn id="18" name="Final Reply" dataDxfId="96"/>
  </tableColumns>
  <tableStyleInfo showFirstColumn="0" showLastColumn="0" showRowStripes="1" showColumnStripes="0"/>
</table>
</file>

<file path=xl/tables/table2.xml><?xml version="1.0" encoding="utf-8"?>
<table xmlns="http://schemas.openxmlformats.org/spreadsheetml/2006/main" id="1" name="AssigneeTable" displayName="AssigneeTable" ref="H1:I24" totalsRowShown="0" headerRowBorderDxfId="95" tableBorderDxfId="94" totalsRowBorderDxfId="93">
  <autoFilter ref="H1:I24"/>
  <tableColumns count="2">
    <tableColumn id="1" name="S/N" dataDxfId="92"/>
    <tableColumn id="2" name="Assignee" dataDxfId="91"/>
  </tableColumns>
  <tableStyleInfo showFirstColumn="0" showLastColumn="0" showRowStripes="1" showColumnStripes="0"/>
</table>
</file>

<file path=xl/tables/table3.xml><?xml version="1.0" encoding="utf-8"?>
<table xmlns="http://schemas.openxmlformats.org/spreadsheetml/2006/main" id="3" name="StatusTable" displayName="StatusTable" ref="D1:F24" totalsRowShown="0" headerRowBorderDxfId="90" tableBorderDxfId="89" totalsRowBorderDxfId="88">
  <autoFilter ref="D1:F24"/>
  <tableColumns count="3">
    <tableColumn id="1" name="S/N" dataDxfId="87"/>
    <tableColumn id="2" name="Status" dataDxfId="86"/>
    <tableColumn id="3" name="Description" dataDxfId="85"/>
  </tableColumns>
  <tableStyleInfo showFirstColumn="0" showLastColumn="0" showRowStripes="1" showColumnStripes="0"/>
</table>
</file>

<file path=xl/tables/table4.xml><?xml version="1.0" encoding="utf-8"?>
<table xmlns="http://schemas.openxmlformats.org/spreadsheetml/2006/main" id="4" name="ChannelTable" displayName="ChannelTable" ref="K1:L24" totalsRowShown="0" headerRowBorderDxfId="84" tableBorderDxfId="83" totalsRowBorderDxfId="82">
  <autoFilter ref="K1:L24"/>
  <tableColumns count="2">
    <tableColumn id="1" name="S/N" dataDxfId="81"/>
    <tableColumn id="2" name="Channel" dataDxfId="80"/>
  </tableColumns>
  <tableStyleInfo showFirstColumn="0" showLastColumn="0" showRowStripes="1" showColumnStripes="0"/>
</table>
</file>

<file path=xl/tables/table5.xml><?xml version="1.0" encoding="utf-8"?>
<table xmlns="http://schemas.openxmlformats.org/spreadsheetml/2006/main" id="5" name="CategoryTable" displayName="CategoryTable" ref="A1:B24" totalsRowShown="0" headerRowBorderDxfId="79" tableBorderDxfId="78" totalsRowBorderDxfId="77">
  <autoFilter ref="A1:B24"/>
  <tableColumns count="2">
    <tableColumn id="1" name="S/N" dataDxfId="76"/>
    <tableColumn id="2" name="Category" dataDxfId="75"/>
  </tableColumns>
  <tableStyleInfo showFirstColumn="0" showLastColumn="0" showRowStripes="1" showColumnStripes="0"/>
</table>
</file>

<file path=xl/tables/table6.xml><?xml version="1.0" encoding="utf-8"?>
<table xmlns="http://schemas.openxmlformats.org/spreadsheetml/2006/main" id="6" name="GroupTable" displayName="GroupTable" ref="N1:O24" totalsRowShown="0" headerRowBorderDxfId="74" tableBorderDxfId="73" totalsRowBorderDxfId="72">
  <autoFilter ref="N1:O24"/>
  <tableColumns count="2">
    <tableColumn id="2" name="Group" dataDxfId="71"/>
    <tableColumn id="3" name="Description" dataDxfId="70"/>
  </tableColumns>
  <tableStyleInfo showFirstColumn="0" showLastColumn="0" showRowStripes="1" showColumnStripes="0"/>
</table>
</file>

<file path=xl/tables/table7.xml><?xml version="1.0" encoding="utf-8"?>
<table xmlns="http://schemas.openxmlformats.org/spreadsheetml/2006/main" id="7" name="TrackerTable8" displayName="TrackerTable8" ref="A1:R36" totalsRowShown="0" headerRowDxfId="57">
  <autoFilter ref="A1:R36"/>
  <tableColumns count="18">
    <tableColumn id="1" name="No."/>
    <tableColumn id="2" name="Enquirer's Organisation"/>
    <tableColumn id="3" name="Enquirer's Name &amp; Contact"/>
    <tableColumn id="5" name="Query Channel"/>
    <tableColumn id="6" name="Query Topic"/>
    <tableColumn id="7" name="Query Category"/>
    <tableColumn id="15" name="Query Date" dataDxfId="56"/>
    <tableColumn id="8" name="Receive Date" dataDxfId="55"/>
    <tableColumn id="16" name="Query Group" dataDxfId="54"/>
    <tableColumn id="9" name="Assigned To"/>
    <tableColumn id="10" name="Status"/>
    <tableColumn id="11" name="Completion Date" dataDxfId="53"/>
    <tableColumn id="4" name="Mark for FAQ" dataDxfId="52"/>
    <tableColumn id="12" name="Total Turnover Days"/>
    <tableColumn id="13" name="Actual Turnover Days" dataDxfId="51"/>
    <tableColumn id="14" name="Processing Turnover Days" dataDxfId="50"/>
    <tableColumn id="17" name="Actual Query" dataDxfId="49"/>
    <tableColumn id="18" name="Final Reply" dataDxfId="48"/>
  </tableColumns>
  <tableStyleInfo showFirstColumn="0" showLastColumn="0" showRowStripes="1" showColumnStripes="0"/>
</table>
</file>

<file path=xl/tables/table8.xml><?xml version="1.0" encoding="utf-8"?>
<table xmlns="http://schemas.openxmlformats.org/spreadsheetml/2006/main" id="8" name="Table1" displayName="Table1" ref="A1:M22" totalsRowShown="0" headerRowDxfId="44" dataDxfId="42" headerRowBorderDxfId="43" tableBorderDxfId="41">
  <autoFilter ref="A1:M22"/>
  <tableColumns count="13">
    <tableColumn id="1" name="S/N" dataDxfId="40"/>
    <tableColumn id="2" name="Date of enquiry" dataDxfId="39"/>
    <tableColumn id="3" name="Name of business/ organisation" dataDxfId="38"/>
    <tableColumn id="4" name="Contact Name" dataDxfId="37"/>
    <tableColumn id="5" name="Email" dataDxfId="36" dataCellStyle="Hyperlink"/>
    <tableColumn id="6" name="Accounting and Finance solution " dataDxfId="35"/>
    <tableColumn id="7" name="Enquiries" dataDxfId="34"/>
    <tableColumn id="8" name="OIC" dataDxfId="33"/>
    <tableColumn id="9" name="Remarks" dataDxfId="32"/>
    <tableColumn id="10" name="Feedback Status (GIN/IMDA)" dataDxfId="31"/>
    <tableColumn id="12" name="Completion Date (IMDA/GIN)" dataDxfId="30"/>
    <tableColumn id="13" name="Final Reply (IMDA)" dataDxfId="29"/>
    <tableColumn id="11" name="Included in Support Update (GIN)" dataDxfId="28"/>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25" dT="2026-03-04T01:15:35.73" personId="{FED096DC-FA9E-45C9-AE55-C01A033916FF}" id="{CCCB09CA-DF2E-4406-905A-05379C6AFB7E}" done="1">
    <text>Not sure GEN-CS double counted this on their end for feb-26 monthly stat reporting. Am checking with Sharon. In the meantime this query is added to GIN side stats.</text>
  </threadedComment>
  <threadedComment ref="R25" dT="2026-03-11T01:20:54.33" personId="{FED096DC-FA9E-45C9-AE55-C01A033916FF}" id="{85A19087-9115-4739-AB80-DFEB335C92A3}" parentId="{CCCB09CA-DF2E-4406-905A-05379C6AFB7E}">
    <text>Confirmed with Sharon that this is not included in CS's stats for Feb-26</text>
  </threadedComment>
  <threadedComment ref="R32" dT="2026-04-21T01:58:19.86" personId="{FD4ECDE3-FE63-443F-9B25-6A95B9544C51}" id="{587570A2-C9C9-4A8D-9C9B-9855EAF7F43D}">
    <text>@Choon Siang BEH (IRAS) 
Hi, I re-read the qns again. This does not seem to be a 3rd party billing arrangement scenario. Essentially, they have a separate AR and AP systems and the AP system is using the in-house enterprise solution. Thot we can direct to the the resources e.g. Technical playbook (and to IMDA, if needed). See if you are agreeable.</text>
    <mentions>
      <mention mentionpersonId="{35DEF3CA-9F34-4F84-891D-ED14805C63B0}" mentionId="{E0102A4B-3D62-4CEA-9C81-F6B106B97B89}" startIndex="0" length="2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1" dT="2026-06-22T06:58:56.18" personId="{FD4ECDE3-FE63-443F-9B25-6A95B9544C51}" id="{A1D5B205-2CE9-4DB1-9CB1-E249B1FD4CB6}">
    <text>@Gerald WONG (IRAS) Suggest this column to indicate which team to follow up on the queries. 
Or is this assumed that this worksheet is assigned to IMDA?</text>
    <mentions>
      <mention mentionpersonId="{EF79EEBA-D555-497D-81AC-FBF95BB70FD0}" mentionId="{39566E48-B1DC-48E3-9952-6A009736A121}" startIndex="0" length="19"/>
    </mentions>
  </threadedComment>
  <threadedComment ref="J1" dT="2026-06-22T08:51:14.81" personId="{928EF303-5BDF-466F-AC7F-F2AFE58837F3}" id="{3ED5DA82-D852-4CB8-A5B6-598A9431331A}" parentId="{A1D5B205-2CE9-4DB1-9CB1-E249B1FD4CB6}">
    <text>Most probably will be IMDA fronting it by nature of this sheet.
We can assist to adjust the feedback status as and when as well (i.e. just open/close)</text>
  </threadedComment>
  <threadedComment ref="I10" dT="2026-06-22T06:56:12.88" personId="{FD4ECDE3-FE63-443F-9B25-6A95B9544C51}" id="{0E46503E-71F1-4501-B6E7-EE5C4317ABD4}">
    <text>@Gerald WONG (IRAS)  do you want to add another column to reflect in the nature of the issue (those described in red)</text>
    <mentions>
      <mention mentionpersonId="{EF79EEBA-D555-497D-81AC-FBF95BB70FD0}" mentionId="{EDFFAA1F-C2EF-4A0A-8144-2BC08F0AE5C4}" startIndex="0" length="19"/>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hyperlink" Target="mailto:sunil.dadlani@secure-dimension.com" TargetMode="External"/><Relationship Id="rId13" Type="http://schemas.openxmlformats.org/officeDocument/2006/relationships/hyperlink" Target="mailto:cheryl.silin@gmail.com" TargetMode="External"/><Relationship Id="rId18" Type="http://schemas.openxmlformats.org/officeDocument/2006/relationships/comments" Target="../comments3.xml"/><Relationship Id="rId3" Type="http://schemas.openxmlformats.org/officeDocument/2006/relationships/hyperlink" Target="mailto:wg.weiqi@gmail.com" TargetMode="External"/><Relationship Id="rId7" Type="http://schemas.openxmlformats.org/officeDocument/2006/relationships/hyperlink" Target="mailto:michael@michaelwong.com.au" TargetMode="External"/><Relationship Id="rId12" Type="http://schemas.openxmlformats.org/officeDocument/2006/relationships/hyperlink" Target="mailto:aichia@chartsworth.sg" TargetMode="External"/><Relationship Id="rId17" Type="http://schemas.openxmlformats.org/officeDocument/2006/relationships/table" Target="../tables/table8.xml"/><Relationship Id="rId2" Type="http://schemas.openxmlformats.org/officeDocument/2006/relationships/hyperlink" Target="mailto:sooyen@psresources.com.sg" TargetMode="External"/><Relationship Id="rId16" Type="http://schemas.openxmlformats.org/officeDocument/2006/relationships/vmlDrawing" Target="../drawings/vmlDrawing3.vml"/><Relationship Id="rId1" Type="http://schemas.openxmlformats.org/officeDocument/2006/relationships/hyperlink" Target="mailto:geokwah@fmasg.org.sg" TargetMode="External"/><Relationship Id="rId6" Type="http://schemas.openxmlformats.org/officeDocument/2006/relationships/hyperlink" Target="mailto:ADMIN@SAFFRONINV.COM" TargetMode="External"/><Relationship Id="rId11" Type="http://schemas.openxmlformats.org/officeDocument/2006/relationships/hyperlink" Target="mailto:purely.delights@gmail.com" TargetMode="External"/><Relationship Id="rId5" Type="http://schemas.openxmlformats.org/officeDocument/2006/relationships/hyperlink" Target="mailto:ingmeng@starsbridges.com" TargetMode="External"/><Relationship Id="rId15" Type="http://schemas.openxmlformats.org/officeDocument/2006/relationships/printerSettings" Target="../printerSettings/printerSettings3.bin"/><Relationship Id="rId10" Type="http://schemas.openxmlformats.org/officeDocument/2006/relationships/hyperlink" Target="mailto:ASKBSFS@GMAIL.COM" TargetMode="External"/><Relationship Id="rId19" Type="http://schemas.microsoft.com/office/2017/10/relationships/threadedComment" Target="../threadedComments/threadedComment3.xml"/><Relationship Id="rId4" Type="http://schemas.openxmlformats.org/officeDocument/2006/relationships/hyperlink" Target="mailto:sheilee@teabonezenmind.com" TargetMode="External"/><Relationship Id="rId9" Type="http://schemas.openxmlformats.org/officeDocument/2006/relationships/hyperlink" Target="mailto:ezequiel.tan@attix.com" TargetMode="External"/><Relationship Id="rId14" Type="http://schemas.openxmlformats.org/officeDocument/2006/relationships/hyperlink" Target="mailto:michael@michaelwong.com.a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3"/>
  <sheetViews>
    <sheetView zoomScaleNormal="100" workbookViewId="0">
      <selection activeCell="C3" sqref="C3"/>
    </sheetView>
  </sheetViews>
  <sheetFormatPr defaultRowHeight="14" outlineLevelCol="1"/>
  <cols>
    <col min="1" max="1" width="8.4140625" customWidth="1"/>
    <col min="2" max="2" width="25.83203125" bestFit="1" customWidth="1"/>
    <col min="3" max="3" width="29.4140625" customWidth="1"/>
    <col min="4" max="4" width="20.4140625" customWidth="1"/>
    <col min="5" max="5" width="20.1640625" bestFit="1" customWidth="1"/>
    <col min="6" max="6" width="21.1640625" customWidth="1"/>
    <col min="7" max="7" width="15.1640625" customWidth="1"/>
    <col min="8" max="8" width="19.4140625" bestFit="1" customWidth="1"/>
    <col min="9" max="9" width="16.4140625" customWidth="1"/>
    <col min="10" max="10" width="15.4140625" customWidth="1"/>
    <col min="11" max="11" width="15" bestFit="1" customWidth="1"/>
    <col min="12" max="12" width="23" customWidth="1"/>
    <col min="13" max="13" width="23" bestFit="1" customWidth="1"/>
    <col min="14" max="14" width="21.75" customWidth="1" outlineLevel="1"/>
    <col min="15" max="15" width="23" customWidth="1" outlineLevel="1"/>
    <col min="16" max="17" width="26.83203125" customWidth="1" outlineLevel="1"/>
    <col min="18" max="18" width="90.4140625" customWidth="1"/>
    <col min="19" max="19" width="103.4140625" customWidth="1"/>
  </cols>
  <sheetData>
    <row r="1" spans="1:19">
      <c r="A1" s="4" t="s">
        <v>0</v>
      </c>
      <c r="B1" s="4" t="s">
        <v>1</v>
      </c>
      <c r="C1" s="4" t="s">
        <v>2</v>
      </c>
      <c r="D1" s="4" t="s">
        <v>3</v>
      </c>
      <c r="E1" s="4" t="s">
        <v>4</v>
      </c>
      <c r="F1" s="4" t="s">
        <v>5</v>
      </c>
      <c r="G1" s="4" t="s">
        <v>6</v>
      </c>
      <c r="H1" s="4" t="s">
        <v>7</v>
      </c>
      <c r="I1" s="4" t="s">
        <v>8</v>
      </c>
      <c r="J1" s="4" t="s">
        <v>9</v>
      </c>
      <c r="K1" s="4" t="s">
        <v>10</v>
      </c>
      <c r="L1" s="4" t="s">
        <v>11</v>
      </c>
      <c r="M1" s="4" t="s">
        <v>12</v>
      </c>
      <c r="N1" s="6" t="s">
        <v>13</v>
      </c>
      <c r="O1" s="6" t="s">
        <v>14</v>
      </c>
      <c r="P1" s="6" t="s">
        <v>15</v>
      </c>
      <c r="Q1" s="6" t="s">
        <v>16</v>
      </c>
      <c r="R1" s="71" t="s">
        <v>17</v>
      </c>
      <c r="S1" s="76" t="s">
        <v>18</v>
      </c>
    </row>
    <row r="2" spans="1:19" s="3" customFormat="1" ht="20">
      <c r="A2" s="5" t="s">
        <v>19</v>
      </c>
      <c r="B2" s="5" t="s">
        <v>20</v>
      </c>
      <c r="C2" s="5" t="s">
        <v>21</v>
      </c>
      <c r="D2" s="5" t="s">
        <v>22</v>
      </c>
      <c r="E2" s="5" t="s">
        <v>23</v>
      </c>
      <c r="F2" s="5" t="s">
        <v>24</v>
      </c>
      <c r="G2" s="5" t="s">
        <v>25</v>
      </c>
      <c r="H2" s="5" t="s">
        <v>26</v>
      </c>
      <c r="I2" s="5" t="s">
        <v>27</v>
      </c>
      <c r="J2" s="5" t="s">
        <v>28</v>
      </c>
      <c r="K2" s="5" t="s">
        <v>24</v>
      </c>
      <c r="L2" s="5" t="s">
        <v>29</v>
      </c>
      <c r="M2" s="5" t="s">
        <v>30</v>
      </c>
      <c r="N2" s="7" t="s">
        <v>31</v>
      </c>
      <c r="O2" s="7" t="s">
        <v>32</v>
      </c>
      <c r="P2" s="7" t="s">
        <v>33</v>
      </c>
      <c r="Q2" s="7" t="s">
        <v>34</v>
      </c>
      <c r="R2" s="72" t="s">
        <v>35</v>
      </c>
      <c r="S2" s="77" t="s">
        <v>36</v>
      </c>
    </row>
    <row r="3" spans="1:19" ht="182">
      <c r="A3" s="20">
        <f>ROW()-2</f>
        <v>1</v>
      </c>
      <c r="B3" s="20" t="s">
        <v>37</v>
      </c>
      <c r="C3" s="20" t="s">
        <v>38</v>
      </c>
      <c r="D3" s="20" t="s">
        <v>39</v>
      </c>
      <c r="E3" s="20" t="s">
        <v>40</v>
      </c>
      <c r="F3" s="20" t="s">
        <v>41</v>
      </c>
      <c r="G3" s="19">
        <v>45964</v>
      </c>
      <c r="H3" s="19">
        <v>45964</v>
      </c>
      <c r="I3" s="20">
        <v>0</v>
      </c>
      <c r="J3" s="20" t="s">
        <v>42</v>
      </c>
      <c r="K3" s="20" t="s">
        <v>43</v>
      </c>
      <c r="L3" s="19">
        <v>45966</v>
      </c>
      <c r="M3" s="19"/>
      <c r="N3" s="21">
        <f>TrackerTable[[#This Row],[Completion Date]]-TrackerTable[[#This Row],[Query Date]]</f>
        <v>2</v>
      </c>
      <c r="O3" s="21">
        <f>TrackerTable[[#This Row],[Completion Date]]-TrackerTable[[#This Row],[Receive Date]]</f>
        <v>2</v>
      </c>
      <c r="P3" s="21">
        <f>TrackerTable[[#This Row],[Receive Date]]-TrackerTable[[#This Row],[Query Date]]</f>
        <v>0</v>
      </c>
      <c r="Q3" s="21"/>
      <c r="R3" s="73" t="s">
        <v>44</v>
      </c>
      <c r="S3" s="19" t="s">
        <v>45</v>
      </c>
    </row>
    <row r="4" spans="1:19" ht="168">
      <c r="A4" s="20">
        <f t="shared" ref="A4:A60" si="0">ROW()-2</f>
        <v>2</v>
      </c>
      <c r="B4" s="20" t="s">
        <v>46</v>
      </c>
      <c r="C4" s="20" t="s">
        <v>47</v>
      </c>
      <c r="D4" s="20" t="s">
        <v>48</v>
      </c>
      <c r="E4" s="20" t="s">
        <v>49</v>
      </c>
      <c r="F4" s="20" t="s">
        <v>50</v>
      </c>
      <c r="G4" s="19">
        <v>45972</v>
      </c>
      <c r="H4" s="19">
        <v>45973</v>
      </c>
      <c r="I4" s="20">
        <v>0</v>
      </c>
      <c r="J4" s="20" t="s">
        <v>51</v>
      </c>
      <c r="K4" s="20" t="s">
        <v>43</v>
      </c>
      <c r="L4" s="19">
        <v>46003</v>
      </c>
      <c r="M4" s="19" t="s">
        <v>52</v>
      </c>
      <c r="N4" s="21">
        <f>TrackerTable[[#This Row],[Completion Date]]-TrackerTable[[#This Row],[Query Date]]</f>
        <v>31</v>
      </c>
      <c r="O4" s="21">
        <f>TrackerTable[[#This Row],[Completion Date]]-TrackerTable[[#This Row],[Receive Date]]</f>
        <v>30</v>
      </c>
      <c r="P4" s="21">
        <f>TrackerTable[[#This Row],[Receive Date]]-TrackerTable[[#This Row],[Query Date]]</f>
        <v>1</v>
      </c>
      <c r="Q4" s="24">
        <v>45992</v>
      </c>
      <c r="R4" s="73" t="s">
        <v>53</v>
      </c>
      <c r="S4" s="19" t="s">
        <v>54</v>
      </c>
    </row>
    <row r="5" spans="1:19" ht="322">
      <c r="A5" s="20">
        <f t="shared" si="0"/>
        <v>3</v>
      </c>
      <c r="B5" s="20" t="s">
        <v>55</v>
      </c>
      <c r="C5" s="20" t="s">
        <v>56</v>
      </c>
      <c r="D5" s="20" t="s">
        <v>57</v>
      </c>
      <c r="E5" s="20" t="s">
        <v>58</v>
      </c>
      <c r="F5" s="20" t="s">
        <v>59</v>
      </c>
      <c r="G5" s="19">
        <v>45971</v>
      </c>
      <c r="H5" s="19">
        <v>45971</v>
      </c>
      <c r="I5" s="20">
        <v>2</v>
      </c>
      <c r="J5" s="20" t="s">
        <v>60</v>
      </c>
      <c r="K5" s="20" t="s">
        <v>61</v>
      </c>
      <c r="L5" s="19"/>
      <c r="M5" s="19" t="s">
        <v>52</v>
      </c>
      <c r="N5" s="21">
        <f>TrackerTable[[#This Row],[Completion Date]]-TrackerTable[[#This Row],[Query Date]]</f>
        <v>-45971</v>
      </c>
      <c r="O5" s="21">
        <f>TrackerTable[[#This Row],[Completion Date]]-TrackerTable[[#This Row],[Receive Date]]</f>
        <v>-45971</v>
      </c>
      <c r="P5" s="21">
        <f>TrackerTable[[#This Row],[Receive Date]]-TrackerTable[[#This Row],[Query Date]]</f>
        <v>0</v>
      </c>
      <c r="Q5" s="21"/>
      <c r="R5" s="73" t="s">
        <v>62</v>
      </c>
      <c r="S5" s="19"/>
    </row>
    <row r="6" spans="1:19" ht="409.5">
      <c r="A6" s="20">
        <f t="shared" si="0"/>
        <v>4</v>
      </c>
      <c r="B6" s="20" t="s">
        <v>63</v>
      </c>
      <c r="C6" s="20" t="s">
        <v>64</v>
      </c>
      <c r="D6" s="20" t="s">
        <v>65</v>
      </c>
      <c r="E6" s="20" t="s">
        <v>66</v>
      </c>
      <c r="F6" s="20" t="s">
        <v>67</v>
      </c>
      <c r="G6" s="19">
        <v>45995</v>
      </c>
      <c r="H6" s="19">
        <v>46001</v>
      </c>
      <c r="I6" s="20">
        <v>1</v>
      </c>
      <c r="J6" s="20" t="s">
        <v>68</v>
      </c>
      <c r="K6" s="20" t="s">
        <v>43</v>
      </c>
      <c r="L6" s="19">
        <v>46002</v>
      </c>
      <c r="M6" s="19"/>
      <c r="N6" s="21">
        <f>TrackerTable[[#This Row],[Completion Date]]-TrackerTable[[#This Row],[Query Date]]</f>
        <v>7</v>
      </c>
      <c r="O6" s="21">
        <f>TrackerTable[[#This Row],[Completion Date]]-TrackerTable[[#This Row],[Receive Date]]</f>
        <v>1</v>
      </c>
      <c r="P6" s="21">
        <f>TrackerTable[[#This Row],[Receive Date]]-TrackerTable[[#This Row],[Query Date]]</f>
        <v>6</v>
      </c>
      <c r="Q6" s="24">
        <v>45992</v>
      </c>
      <c r="R6" s="73" t="s">
        <v>69</v>
      </c>
      <c r="S6" s="19" t="s">
        <v>70</v>
      </c>
    </row>
    <row r="7" spans="1:19" ht="70">
      <c r="A7" s="20">
        <f t="shared" si="0"/>
        <v>5</v>
      </c>
      <c r="B7" s="20" t="s">
        <v>71</v>
      </c>
      <c r="C7" s="20" t="s">
        <v>72</v>
      </c>
      <c r="D7" s="20" t="s">
        <v>57</v>
      </c>
      <c r="E7" s="20" t="s">
        <v>73</v>
      </c>
      <c r="F7" s="20" t="s">
        <v>50</v>
      </c>
      <c r="G7" s="19">
        <v>46000</v>
      </c>
      <c r="H7" s="19">
        <v>46000</v>
      </c>
      <c r="I7" s="20">
        <v>0</v>
      </c>
      <c r="J7" s="20" t="s">
        <v>42</v>
      </c>
      <c r="K7" s="20" t="s">
        <v>74</v>
      </c>
      <c r="L7" s="19"/>
      <c r="M7" s="19" t="s">
        <v>75</v>
      </c>
      <c r="N7" s="21">
        <f>TrackerTable[[#This Row],[Completion Date]]-TrackerTable[[#This Row],[Query Date]]</f>
        <v>-46000</v>
      </c>
      <c r="O7" s="21">
        <f>TrackerTable[[#This Row],[Completion Date]]-TrackerTable[[#This Row],[Receive Date]]</f>
        <v>-46000</v>
      </c>
      <c r="P7" s="21">
        <f>TrackerTable[[#This Row],[Receive Date]]-TrackerTable[[#This Row],[Query Date]]</f>
        <v>0</v>
      </c>
      <c r="Q7" s="21"/>
      <c r="R7" s="73" t="s">
        <v>76</v>
      </c>
      <c r="S7" s="19"/>
    </row>
    <row r="8" spans="1:19" ht="308">
      <c r="A8" s="20">
        <f t="shared" si="0"/>
        <v>6</v>
      </c>
      <c r="B8" s="20" t="s">
        <v>77</v>
      </c>
      <c r="C8" s="20" t="s">
        <v>78</v>
      </c>
      <c r="D8" s="20" t="s">
        <v>79</v>
      </c>
      <c r="E8" s="20" t="s">
        <v>80</v>
      </c>
      <c r="F8" s="20" t="s">
        <v>59</v>
      </c>
      <c r="G8" s="19">
        <v>46006</v>
      </c>
      <c r="H8" s="19">
        <v>46008</v>
      </c>
      <c r="I8" s="20">
        <v>0</v>
      </c>
      <c r="J8" s="20" t="s">
        <v>51</v>
      </c>
      <c r="K8" s="20" t="s">
        <v>43</v>
      </c>
      <c r="L8" s="19">
        <v>46035</v>
      </c>
      <c r="M8" s="19" t="s">
        <v>52</v>
      </c>
      <c r="N8" s="21">
        <f>TrackerTable[[#This Row],[Completion Date]]-TrackerTable[[#This Row],[Query Date]]</f>
        <v>29</v>
      </c>
      <c r="O8" s="21">
        <f>TrackerTable[[#This Row],[Completion Date]]-TrackerTable[[#This Row],[Receive Date]]</f>
        <v>27</v>
      </c>
      <c r="P8" s="21">
        <f>TrackerTable[[#This Row],[Receive Date]]-TrackerTable[[#This Row],[Query Date]]</f>
        <v>2</v>
      </c>
      <c r="Q8" s="24">
        <v>46023</v>
      </c>
      <c r="R8" s="73" t="s">
        <v>81</v>
      </c>
      <c r="S8" s="19" t="s">
        <v>82</v>
      </c>
    </row>
    <row r="9" spans="1:19" ht="280">
      <c r="A9" s="20">
        <f t="shared" si="0"/>
        <v>7</v>
      </c>
      <c r="B9" s="20" t="s">
        <v>83</v>
      </c>
      <c r="C9" s="20" t="s">
        <v>84</v>
      </c>
      <c r="D9" s="20" t="s">
        <v>85</v>
      </c>
      <c r="E9" s="20" t="s">
        <v>86</v>
      </c>
      <c r="F9" s="20" t="s">
        <v>41</v>
      </c>
      <c r="G9" s="19">
        <v>46008</v>
      </c>
      <c r="H9" s="19">
        <v>46008</v>
      </c>
      <c r="I9" s="20">
        <v>0</v>
      </c>
      <c r="J9" s="20" t="s">
        <v>42</v>
      </c>
      <c r="K9" s="20" t="s">
        <v>43</v>
      </c>
      <c r="L9" s="19">
        <v>46008</v>
      </c>
      <c r="M9" s="19"/>
      <c r="N9" s="21">
        <f>TrackerTable[[#This Row],[Completion Date]]-TrackerTable[[#This Row],[Query Date]]</f>
        <v>0</v>
      </c>
      <c r="O9" s="21">
        <f>TrackerTable[[#This Row],[Completion Date]]-TrackerTable[[#This Row],[Receive Date]]</f>
        <v>0</v>
      </c>
      <c r="P9" s="21">
        <f>TrackerTable[[#This Row],[Receive Date]]-TrackerTable[[#This Row],[Query Date]]</f>
        <v>0</v>
      </c>
      <c r="Q9" s="21" t="s">
        <v>87</v>
      </c>
      <c r="R9" s="73" t="s">
        <v>88</v>
      </c>
      <c r="S9" s="19" t="s">
        <v>89</v>
      </c>
    </row>
    <row r="10" spans="1:19" ht="140">
      <c r="A10" s="20">
        <f t="shared" si="0"/>
        <v>8</v>
      </c>
      <c r="B10" s="20" t="s">
        <v>83</v>
      </c>
      <c r="C10" s="20" t="s">
        <v>90</v>
      </c>
      <c r="D10" s="20" t="s">
        <v>85</v>
      </c>
      <c r="E10" s="20" t="s">
        <v>91</v>
      </c>
      <c r="F10" s="20" t="s">
        <v>41</v>
      </c>
      <c r="G10" s="19">
        <v>45994</v>
      </c>
      <c r="H10" s="19">
        <v>46014</v>
      </c>
      <c r="I10" s="20">
        <v>0</v>
      </c>
      <c r="J10" s="20" t="s">
        <v>42</v>
      </c>
      <c r="K10" s="20" t="s">
        <v>43</v>
      </c>
      <c r="L10" s="19">
        <v>46015</v>
      </c>
      <c r="M10" s="19"/>
      <c r="N10" s="21">
        <f>TrackerTable[[#This Row],[Completion Date]]-TrackerTable[[#This Row],[Query Date]]</f>
        <v>21</v>
      </c>
      <c r="O10" s="21">
        <f>TrackerTable[[#This Row],[Completion Date]]-TrackerTable[[#This Row],[Receive Date]]</f>
        <v>1</v>
      </c>
      <c r="P10" s="21">
        <f>TrackerTable[[#This Row],[Receive Date]]-TrackerTable[[#This Row],[Query Date]]</f>
        <v>20</v>
      </c>
      <c r="Q10" s="21" t="s">
        <v>87</v>
      </c>
      <c r="R10" s="73" t="s">
        <v>92</v>
      </c>
      <c r="S10" s="19" t="s">
        <v>93</v>
      </c>
    </row>
    <row r="11" spans="1:19" ht="252">
      <c r="A11" s="20">
        <f t="shared" si="0"/>
        <v>9</v>
      </c>
      <c r="B11" s="20" t="s">
        <v>83</v>
      </c>
      <c r="C11" s="20" t="s">
        <v>90</v>
      </c>
      <c r="D11" s="20" t="s">
        <v>85</v>
      </c>
      <c r="E11" s="20" t="s">
        <v>94</v>
      </c>
      <c r="F11" s="20" t="s">
        <v>95</v>
      </c>
      <c r="G11" s="19">
        <v>46000</v>
      </c>
      <c r="H11" s="19">
        <v>46014</v>
      </c>
      <c r="I11" s="20">
        <v>0</v>
      </c>
      <c r="J11" s="20" t="s">
        <v>96</v>
      </c>
      <c r="K11" s="20" t="s">
        <v>43</v>
      </c>
      <c r="L11" s="19">
        <v>46017</v>
      </c>
      <c r="M11" s="19"/>
      <c r="N11" s="21">
        <f>TrackerTable[[#This Row],[Completion Date]]-TrackerTable[[#This Row],[Query Date]]</f>
        <v>17</v>
      </c>
      <c r="O11" s="21">
        <f>TrackerTable[[#This Row],[Completion Date]]-TrackerTable[[#This Row],[Receive Date]]</f>
        <v>3</v>
      </c>
      <c r="P11" s="21">
        <f>TrackerTable[[#This Row],[Receive Date]]-TrackerTable[[#This Row],[Query Date]]</f>
        <v>14</v>
      </c>
      <c r="Q11" s="21" t="s">
        <v>87</v>
      </c>
      <c r="R11" s="73" t="s">
        <v>97</v>
      </c>
      <c r="S11" s="19" t="s">
        <v>98</v>
      </c>
    </row>
    <row r="12" spans="1:19" ht="409.5">
      <c r="A12" s="20">
        <f t="shared" si="0"/>
        <v>10</v>
      </c>
      <c r="B12" s="20" t="s">
        <v>55</v>
      </c>
      <c r="C12" s="20" t="s">
        <v>56</v>
      </c>
      <c r="D12" s="20" t="s">
        <v>99</v>
      </c>
      <c r="E12" s="20" t="s">
        <v>100</v>
      </c>
      <c r="F12" s="20" t="s">
        <v>101</v>
      </c>
      <c r="G12" s="19">
        <v>46015</v>
      </c>
      <c r="H12" s="19">
        <v>46015</v>
      </c>
      <c r="I12" s="20">
        <v>0</v>
      </c>
      <c r="J12" s="20" t="s">
        <v>42</v>
      </c>
      <c r="K12" s="20" t="s">
        <v>43</v>
      </c>
      <c r="L12" s="19">
        <v>46020</v>
      </c>
      <c r="M12" s="19"/>
      <c r="N12" s="21">
        <f>TrackerTable[[#This Row],[Completion Date]]-TrackerTable[[#This Row],[Query Date]]</f>
        <v>5</v>
      </c>
      <c r="O12" s="21">
        <f>TrackerTable[[#This Row],[Completion Date]]-TrackerTable[[#This Row],[Receive Date]]</f>
        <v>5</v>
      </c>
      <c r="P12" s="21">
        <f>TrackerTable[[#This Row],[Receive Date]]-TrackerTable[[#This Row],[Query Date]]</f>
        <v>0</v>
      </c>
      <c r="Q12" s="24">
        <v>45992</v>
      </c>
      <c r="R12" s="73" t="s">
        <v>102</v>
      </c>
      <c r="S12" s="19" t="s">
        <v>103</v>
      </c>
    </row>
    <row r="13" spans="1:19" ht="409.5">
      <c r="A13" s="20">
        <f t="shared" si="0"/>
        <v>11</v>
      </c>
      <c r="B13" s="20" t="s">
        <v>104</v>
      </c>
      <c r="C13" s="20" t="s">
        <v>105</v>
      </c>
      <c r="D13" s="20" t="s">
        <v>57</v>
      </c>
      <c r="E13" s="20" t="s">
        <v>106</v>
      </c>
      <c r="F13" s="20" t="s">
        <v>67</v>
      </c>
      <c r="G13" s="19">
        <v>46002</v>
      </c>
      <c r="H13" s="19">
        <v>46002</v>
      </c>
      <c r="I13" s="20">
        <v>2</v>
      </c>
      <c r="J13" s="20" t="s">
        <v>60</v>
      </c>
      <c r="K13" s="20" t="s">
        <v>43</v>
      </c>
      <c r="L13" s="19">
        <v>46163</v>
      </c>
      <c r="M13" s="19" t="s">
        <v>52</v>
      </c>
      <c r="N13" s="21">
        <f>TrackerTable[[#This Row],[Completion Date]]-TrackerTable[[#This Row],[Query Date]]</f>
        <v>161</v>
      </c>
      <c r="O13" s="21">
        <f>TrackerTable[[#This Row],[Completion Date]]-TrackerTable[[#This Row],[Receive Date]]</f>
        <v>161</v>
      </c>
      <c r="P13" s="21">
        <f>TrackerTable[[#This Row],[Receive Date]]-TrackerTable[[#This Row],[Query Date]]</f>
        <v>0</v>
      </c>
      <c r="Q13" s="24">
        <v>46143</v>
      </c>
      <c r="R13" s="73" t="s">
        <v>107</v>
      </c>
      <c r="S13" s="19" t="s">
        <v>108</v>
      </c>
    </row>
    <row r="14" spans="1:19" ht="364">
      <c r="A14" s="20">
        <f t="shared" si="0"/>
        <v>12</v>
      </c>
      <c r="B14" s="20" t="s">
        <v>109</v>
      </c>
      <c r="C14" s="20" t="s">
        <v>110</v>
      </c>
      <c r="D14" s="20" t="s">
        <v>79</v>
      </c>
      <c r="E14" s="20" t="s">
        <v>111</v>
      </c>
      <c r="F14" s="20" t="s">
        <v>112</v>
      </c>
      <c r="G14" s="19">
        <v>46024</v>
      </c>
      <c r="H14" s="19">
        <v>46024</v>
      </c>
      <c r="I14" s="20">
        <v>2</v>
      </c>
      <c r="J14" s="20" t="s">
        <v>60</v>
      </c>
      <c r="K14" s="20" t="s">
        <v>113</v>
      </c>
      <c r="L14" s="19"/>
      <c r="M14" s="19" t="s">
        <v>52</v>
      </c>
      <c r="N14" s="21">
        <f>TrackerTable[[#This Row],[Completion Date]]-TrackerTable[[#This Row],[Query Date]]</f>
        <v>-46024</v>
      </c>
      <c r="O14" s="21">
        <f>TrackerTable[[#This Row],[Completion Date]]-TrackerTable[[#This Row],[Receive Date]]</f>
        <v>-46024</v>
      </c>
      <c r="P14" s="21">
        <f>TrackerTable[[#This Row],[Receive Date]]-TrackerTable[[#This Row],[Query Date]]</f>
        <v>0</v>
      </c>
      <c r="Q14" s="21"/>
      <c r="R14" s="73" t="s">
        <v>114</v>
      </c>
      <c r="S14" s="19"/>
    </row>
    <row r="15" spans="1:19" ht="308">
      <c r="A15" s="20">
        <f t="shared" si="0"/>
        <v>13</v>
      </c>
      <c r="B15" s="20" t="s">
        <v>63</v>
      </c>
      <c r="C15" s="20" t="s">
        <v>64</v>
      </c>
      <c r="D15" s="20" t="s">
        <v>39</v>
      </c>
      <c r="E15" s="20" t="s">
        <v>115</v>
      </c>
      <c r="F15" s="20" t="s">
        <v>116</v>
      </c>
      <c r="G15" s="19">
        <v>46022</v>
      </c>
      <c r="H15" s="19">
        <v>46022</v>
      </c>
      <c r="I15" s="20">
        <v>1</v>
      </c>
      <c r="J15" s="20" t="s">
        <v>68</v>
      </c>
      <c r="K15" s="20" t="s">
        <v>43</v>
      </c>
      <c r="L15" s="19">
        <v>46029</v>
      </c>
      <c r="M15" s="19"/>
      <c r="N15" s="21">
        <f>TrackerTable[[#This Row],[Completion Date]]-TrackerTable[[#This Row],[Query Date]]</f>
        <v>7</v>
      </c>
      <c r="O15" s="21">
        <f>TrackerTable[[#This Row],[Completion Date]]-TrackerTable[[#This Row],[Receive Date]]</f>
        <v>7</v>
      </c>
      <c r="P15" s="21">
        <f>TrackerTable[[#This Row],[Receive Date]]-TrackerTable[[#This Row],[Query Date]]</f>
        <v>0</v>
      </c>
      <c r="Q15" s="24">
        <v>46023</v>
      </c>
      <c r="R15" s="73" t="s">
        <v>117</v>
      </c>
      <c r="S15" s="19" t="s">
        <v>118</v>
      </c>
    </row>
    <row r="16" spans="1:19" ht="392">
      <c r="A16" s="20">
        <f t="shared" si="0"/>
        <v>14</v>
      </c>
      <c r="B16" s="20" t="s">
        <v>119</v>
      </c>
      <c r="C16" s="20" t="s">
        <v>120</v>
      </c>
      <c r="D16" s="20" t="s">
        <v>121</v>
      </c>
      <c r="E16" s="20" t="s">
        <v>122</v>
      </c>
      <c r="F16" s="20" t="s">
        <v>41</v>
      </c>
      <c r="G16" s="19">
        <v>46028</v>
      </c>
      <c r="H16" s="19">
        <v>46029</v>
      </c>
      <c r="I16" s="20">
        <v>0</v>
      </c>
      <c r="J16" s="20" t="s">
        <v>96</v>
      </c>
      <c r="K16" s="20" t="s">
        <v>123</v>
      </c>
      <c r="L16" s="19">
        <v>46030</v>
      </c>
      <c r="M16" s="19"/>
      <c r="N16" s="21">
        <f>TrackerTable[[#This Row],[Completion Date]]-TrackerTable[[#This Row],[Query Date]]</f>
        <v>2</v>
      </c>
      <c r="O16" s="21">
        <f>TrackerTable[[#This Row],[Completion Date]]-TrackerTable[[#This Row],[Receive Date]]</f>
        <v>1</v>
      </c>
      <c r="P16" s="21">
        <f>TrackerTable[[#This Row],[Receive Date]]-TrackerTable[[#This Row],[Query Date]]</f>
        <v>1</v>
      </c>
      <c r="Q16" s="24">
        <v>46023</v>
      </c>
      <c r="R16" s="73" t="s">
        <v>124</v>
      </c>
      <c r="S16" s="19" t="s">
        <v>125</v>
      </c>
    </row>
    <row r="17" spans="1:26" ht="168">
      <c r="A17" s="20">
        <f t="shared" si="0"/>
        <v>15</v>
      </c>
      <c r="B17" s="20" t="s">
        <v>126</v>
      </c>
      <c r="C17" s="20" t="s">
        <v>64</v>
      </c>
      <c r="D17" s="20" t="s">
        <v>39</v>
      </c>
      <c r="E17" s="20" t="s">
        <v>115</v>
      </c>
      <c r="F17" s="20" t="s">
        <v>116</v>
      </c>
      <c r="G17" s="19">
        <v>46041</v>
      </c>
      <c r="H17" s="19">
        <v>46041</v>
      </c>
      <c r="I17" s="20">
        <v>0</v>
      </c>
      <c r="J17" s="20" t="s">
        <v>68</v>
      </c>
      <c r="K17" s="20" t="s">
        <v>123</v>
      </c>
      <c r="L17" s="19">
        <v>46044</v>
      </c>
      <c r="M17" s="19"/>
      <c r="N17" s="21">
        <f>TrackerTable[[#This Row],[Completion Date]]-TrackerTable[[#This Row],[Query Date]]</f>
        <v>3</v>
      </c>
      <c r="O17" s="21">
        <f>TrackerTable[[#This Row],[Completion Date]]-TrackerTable[[#This Row],[Receive Date]]</f>
        <v>3</v>
      </c>
      <c r="P17" s="21">
        <f>TrackerTable[[#This Row],[Receive Date]]-TrackerTable[[#This Row],[Query Date]]</f>
        <v>0</v>
      </c>
      <c r="Q17" s="24">
        <v>46023</v>
      </c>
      <c r="R17" s="73" t="s">
        <v>127</v>
      </c>
      <c r="S17" s="19" t="s">
        <v>128</v>
      </c>
    </row>
    <row r="18" spans="1:26" ht="224">
      <c r="A18" s="20">
        <f t="shared" si="0"/>
        <v>16</v>
      </c>
      <c r="B18" s="20" t="s">
        <v>129</v>
      </c>
      <c r="C18" s="20" t="s">
        <v>130</v>
      </c>
      <c r="D18" s="20" t="s">
        <v>121</v>
      </c>
      <c r="E18" s="20" t="s">
        <v>131</v>
      </c>
      <c r="F18" s="20" t="s">
        <v>132</v>
      </c>
      <c r="G18" s="19">
        <v>46041</v>
      </c>
      <c r="H18" s="19">
        <v>46042</v>
      </c>
      <c r="I18" s="20">
        <v>0</v>
      </c>
      <c r="J18" s="20" t="s">
        <v>96</v>
      </c>
      <c r="K18" s="20" t="s">
        <v>123</v>
      </c>
      <c r="L18" s="19">
        <v>46043</v>
      </c>
      <c r="M18" s="19"/>
      <c r="N18" s="21">
        <f>TrackerTable[[#This Row],[Completion Date]]-TrackerTable[[#This Row],[Query Date]]</f>
        <v>2</v>
      </c>
      <c r="O18" s="21">
        <f>TrackerTable[[#This Row],[Completion Date]]-TrackerTable[[#This Row],[Receive Date]]</f>
        <v>1</v>
      </c>
      <c r="P18" s="21">
        <f>TrackerTable[[#This Row],[Receive Date]]-TrackerTable[[#This Row],[Query Date]]</f>
        <v>1</v>
      </c>
      <c r="Q18" s="24">
        <v>46023</v>
      </c>
      <c r="R18" s="73" t="s">
        <v>133</v>
      </c>
      <c r="S18" s="19" t="s">
        <v>134</v>
      </c>
    </row>
    <row r="19" spans="1:26" ht="409.5">
      <c r="A19" s="20">
        <f t="shared" si="0"/>
        <v>17</v>
      </c>
      <c r="B19" s="20" t="s">
        <v>104</v>
      </c>
      <c r="C19" s="20" t="s">
        <v>135</v>
      </c>
      <c r="D19" s="20" t="s">
        <v>99</v>
      </c>
      <c r="E19" s="20" t="s">
        <v>86</v>
      </c>
      <c r="F19" s="20" t="s">
        <v>116</v>
      </c>
      <c r="G19" s="19">
        <v>46043</v>
      </c>
      <c r="H19" s="19">
        <v>46043</v>
      </c>
      <c r="I19" s="20">
        <v>0</v>
      </c>
      <c r="J19" s="20" t="s">
        <v>42</v>
      </c>
      <c r="K19" s="20" t="s">
        <v>43</v>
      </c>
      <c r="L19" s="19">
        <v>46057</v>
      </c>
      <c r="M19" s="19"/>
      <c r="N19" s="21">
        <f>TrackerTable[[#This Row],[Completion Date]]-TrackerTable[[#This Row],[Query Date]]</f>
        <v>14</v>
      </c>
      <c r="O19" s="21">
        <f>TrackerTable[[#This Row],[Completion Date]]-TrackerTable[[#This Row],[Receive Date]]</f>
        <v>14</v>
      </c>
      <c r="P19" s="21">
        <f>TrackerTable[[#This Row],[Receive Date]]-TrackerTable[[#This Row],[Query Date]]</f>
        <v>0</v>
      </c>
      <c r="Q19" s="24">
        <v>46054</v>
      </c>
      <c r="R19" s="73" t="s">
        <v>136</v>
      </c>
      <c r="S19" s="19" t="s">
        <v>137</v>
      </c>
    </row>
    <row r="20" spans="1:26" ht="42">
      <c r="A20" s="20">
        <f t="shared" si="0"/>
        <v>18</v>
      </c>
      <c r="B20" s="20" t="s">
        <v>138</v>
      </c>
      <c r="C20" s="20" t="s">
        <v>139</v>
      </c>
      <c r="D20" s="20" t="s">
        <v>121</v>
      </c>
      <c r="E20" s="20" t="s">
        <v>140</v>
      </c>
      <c r="F20" s="20" t="s">
        <v>67</v>
      </c>
      <c r="G20" s="19">
        <v>46044</v>
      </c>
      <c r="H20" s="19">
        <v>46048</v>
      </c>
      <c r="I20" s="20">
        <v>2</v>
      </c>
      <c r="J20" s="20" t="s">
        <v>60</v>
      </c>
      <c r="K20" s="20" t="s">
        <v>43</v>
      </c>
      <c r="L20" s="19">
        <v>46057</v>
      </c>
      <c r="M20" s="19"/>
      <c r="N20" s="21">
        <f>TrackerTable[[#This Row],[Completion Date]]-TrackerTable[[#This Row],[Query Date]]</f>
        <v>13</v>
      </c>
      <c r="O20" s="21">
        <f>TrackerTable[[#This Row],[Completion Date]]-TrackerTable[[#This Row],[Receive Date]]</f>
        <v>9</v>
      </c>
      <c r="P20" s="21">
        <f>TrackerTable[[#This Row],[Receive Date]]-TrackerTable[[#This Row],[Query Date]]</f>
        <v>4</v>
      </c>
      <c r="Q20" s="24">
        <v>46054</v>
      </c>
      <c r="R20" s="73" t="s">
        <v>141</v>
      </c>
      <c r="S20" s="19" t="s">
        <v>142</v>
      </c>
    </row>
    <row r="21" spans="1:26" ht="409.5">
      <c r="A21" s="20">
        <f t="shared" si="0"/>
        <v>19</v>
      </c>
      <c r="B21" s="20" t="s">
        <v>55</v>
      </c>
      <c r="C21" s="20" t="s">
        <v>56</v>
      </c>
      <c r="D21" s="20" t="s">
        <v>99</v>
      </c>
      <c r="E21" s="20" t="s">
        <v>143</v>
      </c>
      <c r="F21" s="20" t="s">
        <v>59</v>
      </c>
      <c r="G21" s="19">
        <v>46049</v>
      </c>
      <c r="H21" s="19">
        <v>46049</v>
      </c>
      <c r="I21" s="20">
        <v>0</v>
      </c>
      <c r="J21" s="20" t="s">
        <v>51</v>
      </c>
      <c r="K21" s="20" t="s">
        <v>43</v>
      </c>
      <c r="L21" s="19">
        <v>46050</v>
      </c>
      <c r="M21" s="19"/>
      <c r="N21" s="21">
        <f>TrackerTable[[#This Row],[Completion Date]]-TrackerTable[[#This Row],[Query Date]]</f>
        <v>1</v>
      </c>
      <c r="O21" s="21">
        <f>TrackerTable[[#This Row],[Completion Date]]-TrackerTable[[#This Row],[Receive Date]]</f>
        <v>1</v>
      </c>
      <c r="P21" s="21">
        <f>TrackerTable[[#This Row],[Receive Date]]-TrackerTable[[#This Row],[Query Date]]</f>
        <v>0</v>
      </c>
      <c r="Q21" s="24">
        <v>46023</v>
      </c>
      <c r="R21" s="73" t="s">
        <v>144</v>
      </c>
      <c r="S21" s="19" t="s">
        <v>145</v>
      </c>
    </row>
    <row r="22" spans="1:26" ht="409.5">
      <c r="A22" s="20">
        <f t="shared" si="0"/>
        <v>20</v>
      </c>
      <c r="B22" s="20" t="s">
        <v>57</v>
      </c>
      <c r="C22" s="20" t="s">
        <v>146</v>
      </c>
      <c r="D22" s="20" t="s">
        <v>57</v>
      </c>
      <c r="E22" s="20" t="s">
        <v>147</v>
      </c>
      <c r="F22" s="20" t="s">
        <v>59</v>
      </c>
      <c r="G22" s="19">
        <v>46055</v>
      </c>
      <c r="H22" s="19">
        <v>46055</v>
      </c>
      <c r="I22" s="20">
        <v>0</v>
      </c>
      <c r="J22" s="20" t="s">
        <v>68</v>
      </c>
      <c r="K22" s="20" t="s">
        <v>43</v>
      </c>
      <c r="L22" s="19">
        <v>46056</v>
      </c>
      <c r="M22" s="19"/>
      <c r="N22" s="21">
        <f>TrackerTable[[#This Row],[Completion Date]]-TrackerTable[[#This Row],[Query Date]]</f>
        <v>1</v>
      </c>
      <c r="O22" s="21">
        <f>TrackerTable[[#This Row],[Completion Date]]-TrackerTable[[#This Row],[Receive Date]]</f>
        <v>1</v>
      </c>
      <c r="P22" s="21">
        <f>TrackerTable[[#This Row],[Receive Date]]-TrackerTable[[#This Row],[Query Date]]</f>
        <v>0</v>
      </c>
      <c r="Q22" s="24">
        <v>46054</v>
      </c>
      <c r="R22" s="73" t="s">
        <v>148</v>
      </c>
      <c r="S22" s="19" t="s">
        <v>149</v>
      </c>
    </row>
    <row r="23" spans="1:26" ht="210">
      <c r="A23" s="20">
        <f t="shared" si="0"/>
        <v>21</v>
      </c>
      <c r="B23" s="20" t="s">
        <v>150</v>
      </c>
      <c r="C23" s="20" t="s">
        <v>151</v>
      </c>
      <c r="D23" s="20" t="s">
        <v>152</v>
      </c>
      <c r="E23" s="20" t="s">
        <v>153</v>
      </c>
      <c r="F23" s="20" t="s">
        <v>154</v>
      </c>
      <c r="G23" s="19">
        <v>46056</v>
      </c>
      <c r="H23" s="19">
        <v>46057</v>
      </c>
      <c r="I23" s="20">
        <v>0</v>
      </c>
      <c r="J23" s="20" t="s">
        <v>68</v>
      </c>
      <c r="K23" s="20" t="s">
        <v>123</v>
      </c>
      <c r="L23" s="19">
        <v>46057</v>
      </c>
      <c r="M23" s="19"/>
      <c r="N23" s="21">
        <f>TrackerTable[[#This Row],[Completion Date]]-TrackerTable[[#This Row],[Query Date]]</f>
        <v>1</v>
      </c>
      <c r="O23" s="21">
        <f>TrackerTable[[#This Row],[Completion Date]]-TrackerTable[[#This Row],[Receive Date]]</f>
        <v>0</v>
      </c>
      <c r="P23" s="21">
        <f>TrackerTable[[#This Row],[Receive Date]]-TrackerTable[[#This Row],[Query Date]]</f>
        <v>1</v>
      </c>
      <c r="Q23" s="24">
        <v>46054</v>
      </c>
      <c r="R23" s="73" t="s">
        <v>155</v>
      </c>
      <c r="S23" s="19" t="s">
        <v>156</v>
      </c>
    </row>
    <row r="24" spans="1:26" ht="98">
      <c r="A24" s="20">
        <f t="shared" si="0"/>
        <v>22</v>
      </c>
      <c r="B24" s="20" t="s">
        <v>55</v>
      </c>
      <c r="C24" s="20" t="s">
        <v>56</v>
      </c>
      <c r="D24" s="20" t="s">
        <v>39</v>
      </c>
      <c r="E24" s="20" t="s">
        <v>100</v>
      </c>
      <c r="F24" s="20" t="s">
        <v>101</v>
      </c>
      <c r="G24" s="19">
        <v>46063</v>
      </c>
      <c r="H24" s="19">
        <v>46063</v>
      </c>
      <c r="I24" s="20">
        <v>2</v>
      </c>
      <c r="J24" s="20" t="s">
        <v>60</v>
      </c>
      <c r="K24" s="20" t="s">
        <v>113</v>
      </c>
      <c r="L24" s="19"/>
      <c r="M24" s="19"/>
      <c r="N24" s="21">
        <f>TrackerTable[[#This Row],[Completion Date]]-TrackerTable[[#This Row],[Query Date]]</f>
        <v>-46063</v>
      </c>
      <c r="O24" s="21">
        <f>TrackerTable[[#This Row],[Completion Date]]-TrackerTable[[#This Row],[Receive Date]]</f>
        <v>-46063</v>
      </c>
      <c r="P24" s="21">
        <f>TrackerTable[[#This Row],[Receive Date]]-TrackerTable[[#This Row],[Query Date]]</f>
        <v>0</v>
      </c>
      <c r="Q24" s="21"/>
      <c r="R24" s="73" t="s">
        <v>157</v>
      </c>
      <c r="S24" s="19"/>
    </row>
    <row r="25" spans="1:26" ht="350">
      <c r="A25" s="20">
        <f t="shared" si="0"/>
        <v>23</v>
      </c>
      <c r="B25" s="25" t="s">
        <v>158</v>
      </c>
      <c r="C25" s="25" t="s">
        <v>159</v>
      </c>
      <c r="D25" s="20" t="s">
        <v>99</v>
      </c>
      <c r="E25" s="25" t="s">
        <v>160</v>
      </c>
      <c r="F25" s="20" t="s">
        <v>50</v>
      </c>
      <c r="G25" s="19">
        <v>46077</v>
      </c>
      <c r="H25" s="19">
        <v>46077</v>
      </c>
      <c r="I25" s="20">
        <v>0</v>
      </c>
      <c r="J25" s="20" t="s">
        <v>51</v>
      </c>
      <c r="K25" s="20" t="s">
        <v>161</v>
      </c>
      <c r="L25" s="26">
        <v>46093</v>
      </c>
      <c r="M25" s="19"/>
      <c r="N25" s="21">
        <f>TrackerTable[[#This Row],[Completion Date]]-TrackerTable[[#This Row],[Query Date]]</f>
        <v>16</v>
      </c>
      <c r="O25" s="21">
        <f>TrackerTable[[#This Row],[Completion Date]]-TrackerTable[[#This Row],[Receive Date]]</f>
        <v>16</v>
      </c>
      <c r="P25" s="21">
        <f>TrackerTable[[#This Row],[Receive Date]]-TrackerTable[[#This Row],[Query Date]]</f>
        <v>0</v>
      </c>
      <c r="Q25" s="24">
        <v>46082</v>
      </c>
      <c r="R25" s="74" t="s">
        <v>162</v>
      </c>
      <c r="S25" s="19" t="s">
        <v>163</v>
      </c>
    </row>
    <row r="26" spans="1:26" ht="182">
      <c r="A26" s="20">
        <f t="shared" si="0"/>
        <v>24</v>
      </c>
      <c r="B26" s="27" t="s">
        <v>164</v>
      </c>
      <c r="C26" s="20" t="s">
        <v>165</v>
      </c>
      <c r="D26" s="20" t="s">
        <v>121</v>
      </c>
      <c r="E26" s="20" t="s">
        <v>166</v>
      </c>
      <c r="F26" s="20" t="s">
        <v>167</v>
      </c>
      <c r="G26" s="28">
        <v>46083</v>
      </c>
      <c r="H26" s="28">
        <v>46086</v>
      </c>
      <c r="I26" s="20">
        <v>0</v>
      </c>
      <c r="J26" s="20" t="s">
        <v>51</v>
      </c>
      <c r="K26" s="20" t="s">
        <v>113</v>
      </c>
      <c r="L26" s="19"/>
      <c r="M26" s="19" t="s">
        <v>52</v>
      </c>
      <c r="N26" s="21">
        <f>TrackerTable[[#This Row],[Completion Date]]-TrackerTable[[#This Row],[Query Date]]</f>
        <v>-46083</v>
      </c>
      <c r="O26" s="21">
        <f>TrackerTable[[#This Row],[Completion Date]]-TrackerTable[[#This Row],[Receive Date]]</f>
        <v>-46086</v>
      </c>
      <c r="P26" s="21">
        <f>TrackerTable[[#This Row],[Receive Date]]-TrackerTable[[#This Row],[Query Date]]</f>
        <v>3</v>
      </c>
      <c r="Q26" s="21"/>
      <c r="R26" s="73" t="s">
        <v>168</v>
      </c>
      <c r="S26" s="19" t="s">
        <v>169</v>
      </c>
    </row>
    <row r="27" spans="1:26" ht="364">
      <c r="A27" s="20">
        <f t="shared" si="0"/>
        <v>25</v>
      </c>
      <c r="B27" s="20" t="s">
        <v>170</v>
      </c>
      <c r="C27" s="20" t="s">
        <v>171</v>
      </c>
      <c r="D27" s="20" t="s">
        <v>172</v>
      </c>
      <c r="E27" s="20" t="s">
        <v>173</v>
      </c>
      <c r="F27" s="20" t="s">
        <v>41</v>
      </c>
      <c r="G27" s="28">
        <v>46083</v>
      </c>
      <c r="H27" s="28">
        <v>46083</v>
      </c>
      <c r="I27" s="20">
        <v>0</v>
      </c>
      <c r="J27" s="20" t="s">
        <v>174</v>
      </c>
      <c r="K27" s="20" t="s">
        <v>123</v>
      </c>
      <c r="L27" s="28">
        <v>46100</v>
      </c>
      <c r="M27" s="19"/>
      <c r="N27" s="21">
        <f>TrackerTable[[#This Row],[Completion Date]]-TrackerTable[[#This Row],[Query Date]]</f>
        <v>17</v>
      </c>
      <c r="O27" s="21">
        <f>TrackerTable[[#This Row],[Completion Date]]-TrackerTable[[#This Row],[Receive Date]]</f>
        <v>17</v>
      </c>
      <c r="P27" s="21">
        <f>TrackerTable[[#This Row],[Receive Date]]-TrackerTable[[#This Row],[Query Date]]</f>
        <v>0</v>
      </c>
      <c r="Q27" s="24">
        <v>46082</v>
      </c>
      <c r="R27" s="73" t="s">
        <v>175</v>
      </c>
      <c r="S27" s="19" t="s">
        <v>176</v>
      </c>
    </row>
    <row r="28" spans="1:26" ht="154">
      <c r="A28" s="20">
        <f t="shared" si="0"/>
        <v>26</v>
      </c>
      <c r="B28" s="20" t="s">
        <v>177</v>
      </c>
      <c r="C28" s="20" t="s">
        <v>178</v>
      </c>
      <c r="D28" s="20" t="s">
        <v>79</v>
      </c>
      <c r="E28" s="20" t="s">
        <v>179</v>
      </c>
      <c r="F28" s="20" t="s">
        <v>59</v>
      </c>
      <c r="G28" s="19">
        <v>46092</v>
      </c>
      <c r="H28" s="19">
        <v>46092</v>
      </c>
      <c r="I28" s="20">
        <v>0</v>
      </c>
      <c r="J28" s="20" t="s">
        <v>51</v>
      </c>
      <c r="K28" s="20" t="s">
        <v>180</v>
      </c>
      <c r="L28" s="28"/>
      <c r="M28" s="19"/>
      <c r="N28" s="21">
        <f>TrackerTable[[#This Row],[Completion Date]]-TrackerTable[[#This Row],[Query Date]]</f>
        <v>-46092</v>
      </c>
      <c r="O28" s="21">
        <f>TrackerTable[[#This Row],[Completion Date]]-TrackerTable[[#This Row],[Receive Date]]</f>
        <v>-46092</v>
      </c>
      <c r="P28" s="21">
        <f>TrackerTable[[#This Row],[Receive Date]]-TrackerTable[[#This Row],[Query Date]]</f>
        <v>0</v>
      </c>
      <c r="Q28" s="21"/>
      <c r="R28" s="73" t="s">
        <v>181</v>
      </c>
      <c r="S28" s="19"/>
      <c r="Z28">
        <f>(104+25)/5</f>
        <v>25.8</v>
      </c>
    </row>
    <row r="29" spans="1:26" ht="112">
      <c r="A29" s="20">
        <f t="shared" si="0"/>
        <v>27</v>
      </c>
      <c r="B29" s="20" t="s">
        <v>104</v>
      </c>
      <c r="C29" s="20" t="s">
        <v>182</v>
      </c>
      <c r="D29" s="20" t="s">
        <v>99</v>
      </c>
      <c r="E29" s="20" t="s">
        <v>183</v>
      </c>
      <c r="F29" s="20" t="s">
        <v>184</v>
      </c>
      <c r="G29" s="19">
        <v>46098</v>
      </c>
      <c r="H29" s="19">
        <v>46098</v>
      </c>
      <c r="I29" s="20">
        <v>0</v>
      </c>
      <c r="J29" s="20" t="s">
        <v>42</v>
      </c>
      <c r="K29" s="20" t="s">
        <v>43</v>
      </c>
      <c r="L29" s="19">
        <v>46099</v>
      </c>
      <c r="M29" s="19"/>
      <c r="N29" s="21">
        <f>TrackerTable[[#This Row],[Completion Date]]-TrackerTable[[#This Row],[Query Date]]</f>
        <v>1</v>
      </c>
      <c r="O29" s="21">
        <f>TrackerTable[[#This Row],[Completion Date]]-TrackerTable[[#This Row],[Receive Date]]</f>
        <v>1</v>
      </c>
      <c r="P29" s="21">
        <f>TrackerTable[[#This Row],[Receive Date]]-TrackerTable[[#This Row],[Query Date]]</f>
        <v>0</v>
      </c>
      <c r="Q29" s="24">
        <v>46082</v>
      </c>
      <c r="R29" s="73" t="s">
        <v>185</v>
      </c>
      <c r="S29" s="19" t="s">
        <v>186</v>
      </c>
    </row>
    <row r="30" spans="1:26" ht="238">
      <c r="A30" s="20">
        <f t="shared" si="0"/>
        <v>28</v>
      </c>
      <c r="B30" s="20" t="s">
        <v>55</v>
      </c>
      <c r="C30" s="20" t="s">
        <v>56</v>
      </c>
      <c r="D30" s="20" t="s">
        <v>99</v>
      </c>
      <c r="E30" s="20" t="s">
        <v>187</v>
      </c>
      <c r="F30" s="20" t="s">
        <v>188</v>
      </c>
      <c r="G30" s="19">
        <v>46098</v>
      </c>
      <c r="H30" s="19">
        <v>46098</v>
      </c>
      <c r="I30" s="20">
        <v>2</v>
      </c>
      <c r="J30" s="20" t="s">
        <v>60</v>
      </c>
      <c r="K30" s="20" t="s">
        <v>113</v>
      </c>
      <c r="L30" s="19"/>
      <c r="M30" s="19"/>
      <c r="N30" s="21">
        <f>TrackerTable[[#This Row],[Completion Date]]-TrackerTable[[#This Row],[Query Date]]</f>
        <v>-46098</v>
      </c>
      <c r="O30" s="21">
        <f>TrackerTable[[#This Row],[Completion Date]]-TrackerTable[[#This Row],[Receive Date]]</f>
        <v>-46098</v>
      </c>
      <c r="P30" s="21">
        <f>TrackerTable[[#This Row],[Receive Date]]-TrackerTable[[#This Row],[Query Date]]</f>
        <v>0</v>
      </c>
      <c r="Q30" s="21"/>
      <c r="R30" s="73" t="s">
        <v>189</v>
      </c>
      <c r="S30" s="19"/>
    </row>
    <row r="31" spans="1:26" ht="378">
      <c r="A31" s="20">
        <f t="shared" si="0"/>
        <v>29</v>
      </c>
      <c r="B31" s="20" t="s">
        <v>190</v>
      </c>
      <c r="C31" s="20" t="s">
        <v>191</v>
      </c>
      <c r="D31" s="20" t="s">
        <v>99</v>
      </c>
      <c r="E31" s="20" t="s">
        <v>192</v>
      </c>
      <c r="F31" s="20" t="s">
        <v>59</v>
      </c>
      <c r="G31" s="19">
        <v>46098</v>
      </c>
      <c r="H31" s="19">
        <v>46100</v>
      </c>
      <c r="I31" s="20">
        <v>1</v>
      </c>
      <c r="J31" s="20" t="s">
        <v>42</v>
      </c>
      <c r="K31" s="20" t="s">
        <v>43</v>
      </c>
      <c r="L31" s="19">
        <v>46146</v>
      </c>
      <c r="M31" s="19" t="s">
        <v>52</v>
      </c>
      <c r="N31" s="21">
        <f>TrackerTable[[#This Row],[Completion Date]]-TrackerTable[[#This Row],[Query Date]]</f>
        <v>48</v>
      </c>
      <c r="O31" s="21">
        <f>TrackerTable[[#This Row],[Completion Date]]-TrackerTable[[#This Row],[Receive Date]]</f>
        <v>46</v>
      </c>
      <c r="P31" s="21">
        <f>TrackerTable[[#This Row],[Receive Date]]-TrackerTable[[#This Row],[Query Date]]</f>
        <v>2</v>
      </c>
      <c r="Q31" s="24">
        <v>46143</v>
      </c>
      <c r="R31" s="73" t="s">
        <v>193</v>
      </c>
      <c r="S31" s="19" t="s">
        <v>194</v>
      </c>
    </row>
    <row r="32" spans="1:26" ht="409.5">
      <c r="A32" s="20">
        <f t="shared" si="0"/>
        <v>30</v>
      </c>
      <c r="B32" s="20" t="s">
        <v>195</v>
      </c>
      <c r="C32" s="20" t="s">
        <v>196</v>
      </c>
      <c r="D32" s="20" t="s">
        <v>121</v>
      </c>
      <c r="E32" s="20" t="s">
        <v>197</v>
      </c>
      <c r="F32" s="20" t="s">
        <v>67</v>
      </c>
      <c r="G32" s="19">
        <v>46100</v>
      </c>
      <c r="H32" s="19">
        <v>46101</v>
      </c>
      <c r="I32" s="20">
        <v>2</v>
      </c>
      <c r="J32" s="20" t="s">
        <v>60</v>
      </c>
      <c r="K32" s="20" t="s">
        <v>43</v>
      </c>
      <c r="L32" s="19">
        <v>46198</v>
      </c>
      <c r="M32" s="19" t="s">
        <v>52</v>
      </c>
      <c r="N32" s="21">
        <f>TrackerTable[[#This Row],[Completion Date]]-TrackerTable[[#This Row],[Query Date]]</f>
        <v>98</v>
      </c>
      <c r="O32" s="21">
        <f>TrackerTable[[#This Row],[Completion Date]]-TrackerTable[[#This Row],[Receive Date]]</f>
        <v>97</v>
      </c>
      <c r="P32" s="21">
        <f>TrackerTable[[#This Row],[Receive Date]]-TrackerTable[[#This Row],[Query Date]]</f>
        <v>1</v>
      </c>
      <c r="Q32" s="24">
        <v>46174</v>
      </c>
      <c r="R32" s="73" t="s">
        <v>198</v>
      </c>
      <c r="S32" s="19" t="s">
        <v>199</v>
      </c>
    </row>
    <row r="33" spans="1:19" ht="140">
      <c r="A33" s="20">
        <f t="shared" si="0"/>
        <v>31</v>
      </c>
      <c r="B33" s="20" t="s">
        <v>200</v>
      </c>
      <c r="C33" s="20" t="s">
        <v>201</v>
      </c>
      <c r="D33" s="20" t="s">
        <v>200</v>
      </c>
      <c r="E33" s="20" t="s">
        <v>202</v>
      </c>
      <c r="F33" s="20" t="s">
        <v>59</v>
      </c>
      <c r="G33" s="19">
        <v>46104</v>
      </c>
      <c r="H33" s="19">
        <v>46104</v>
      </c>
      <c r="I33" s="30">
        <v>0</v>
      </c>
      <c r="J33" s="20" t="s">
        <v>60</v>
      </c>
      <c r="K33" s="20" t="s">
        <v>113</v>
      </c>
      <c r="L33" s="19"/>
      <c r="M33" s="19" t="s">
        <v>52</v>
      </c>
      <c r="N33" s="21">
        <f>TrackerTable[[#This Row],[Completion Date]]-TrackerTable[[#This Row],[Query Date]]</f>
        <v>-46104</v>
      </c>
      <c r="O33" s="21">
        <f>TrackerTable[[#This Row],[Completion Date]]-TrackerTable[[#This Row],[Receive Date]]</f>
        <v>-46104</v>
      </c>
      <c r="P33" s="21">
        <f>TrackerTable[[#This Row],[Receive Date]]-TrackerTable[[#This Row],[Query Date]]</f>
        <v>0</v>
      </c>
      <c r="Q33" s="21" t="s">
        <v>87</v>
      </c>
      <c r="R33" s="73" t="s">
        <v>203</v>
      </c>
      <c r="S33" s="19" t="s">
        <v>204</v>
      </c>
    </row>
    <row r="34" spans="1:19" ht="224">
      <c r="A34" s="20">
        <f t="shared" si="0"/>
        <v>32</v>
      </c>
      <c r="B34" s="20" t="s">
        <v>200</v>
      </c>
      <c r="C34" s="20" t="s">
        <v>201</v>
      </c>
      <c r="D34" s="20" t="s">
        <v>200</v>
      </c>
      <c r="E34" s="20" t="s">
        <v>205</v>
      </c>
      <c r="F34" s="20" t="s">
        <v>59</v>
      </c>
      <c r="G34" s="19">
        <v>46104</v>
      </c>
      <c r="H34" s="19">
        <v>46104</v>
      </c>
      <c r="I34" s="20">
        <v>0</v>
      </c>
      <c r="J34" s="20" t="s">
        <v>42</v>
      </c>
      <c r="K34" s="20" t="s">
        <v>74</v>
      </c>
      <c r="L34" s="19"/>
      <c r="M34" s="19" t="s">
        <v>52</v>
      </c>
      <c r="N34" s="21">
        <f>TrackerTable[[#This Row],[Completion Date]]-TrackerTable[[#This Row],[Query Date]]</f>
        <v>-46104</v>
      </c>
      <c r="O34" s="21">
        <f>TrackerTable[[#This Row],[Completion Date]]-TrackerTable[[#This Row],[Receive Date]]</f>
        <v>-46104</v>
      </c>
      <c r="P34" s="21">
        <f>TrackerTable[[#This Row],[Receive Date]]-TrackerTable[[#This Row],[Query Date]]</f>
        <v>0</v>
      </c>
      <c r="Q34" s="21" t="s">
        <v>87</v>
      </c>
      <c r="R34" s="73" t="s">
        <v>206</v>
      </c>
      <c r="S34" s="19" t="s">
        <v>207</v>
      </c>
    </row>
    <row r="35" spans="1:19" ht="294">
      <c r="A35" s="20">
        <f t="shared" si="0"/>
        <v>33</v>
      </c>
      <c r="B35" s="20" t="s">
        <v>200</v>
      </c>
      <c r="C35" s="20" t="s">
        <v>201</v>
      </c>
      <c r="D35" s="20" t="s">
        <v>200</v>
      </c>
      <c r="E35" s="20" t="s">
        <v>208</v>
      </c>
      <c r="F35" s="20" t="s">
        <v>209</v>
      </c>
      <c r="G35" s="19">
        <v>46104</v>
      </c>
      <c r="H35" s="19">
        <v>46104</v>
      </c>
      <c r="I35" s="20">
        <v>1</v>
      </c>
      <c r="J35" s="20" t="s">
        <v>68</v>
      </c>
      <c r="K35" s="20" t="s">
        <v>113</v>
      </c>
      <c r="L35" s="19"/>
      <c r="M35" s="19" t="s">
        <v>52</v>
      </c>
      <c r="N35" s="21">
        <f>TrackerTable[[#This Row],[Completion Date]]-TrackerTable[[#This Row],[Query Date]]</f>
        <v>-46104</v>
      </c>
      <c r="O35" s="21">
        <f>TrackerTable[[#This Row],[Completion Date]]-TrackerTable[[#This Row],[Receive Date]]</f>
        <v>-46104</v>
      </c>
      <c r="P35" s="21">
        <f>TrackerTable[[#This Row],[Receive Date]]-TrackerTable[[#This Row],[Query Date]]</f>
        <v>0</v>
      </c>
      <c r="Q35" s="21" t="s">
        <v>87</v>
      </c>
      <c r="R35" s="73" t="s">
        <v>210</v>
      </c>
      <c r="S35" s="19" t="s">
        <v>211</v>
      </c>
    </row>
    <row r="36" spans="1:19" ht="210">
      <c r="A36" s="20">
        <f t="shared" si="0"/>
        <v>34</v>
      </c>
      <c r="B36" s="20" t="s">
        <v>104</v>
      </c>
      <c r="C36" s="20" t="s">
        <v>182</v>
      </c>
      <c r="D36" s="20" t="s">
        <v>99</v>
      </c>
      <c r="E36" s="20" t="s">
        <v>212</v>
      </c>
      <c r="F36" s="20" t="s">
        <v>116</v>
      </c>
      <c r="G36" s="19">
        <v>46105</v>
      </c>
      <c r="H36" s="19">
        <v>46105</v>
      </c>
      <c r="I36" s="20">
        <v>0</v>
      </c>
      <c r="J36" s="20" t="s">
        <v>42</v>
      </c>
      <c r="K36" s="20" t="s">
        <v>43</v>
      </c>
      <c r="L36" s="19">
        <v>46107</v>
      </c>
      <c r="M36" s="19"/>
      <c r="N36" s="21">
        <f>TrackerTable[[#This Row],[Completion Date]]-TrackerTable[[#This Row],[Query Date]]</f>
        <v>2</v>
      </c>
      <c r="O36" s="21">
        <f>TrackerTable[[#This Row],[Completion Date]]-TrackerTable[[#This Row],[Receive Date]]</f>
        <v>2</v>
      </c>
      <c r="P36" s="21">
        <f>TrackerTable[[#This Row],[Receive Date]]-TrackerTable[[#This Row],[Query Date]]</f>
        <v>0</v>
      </c>
      <c r="Q36" s="24">
        <v>46082</v>
      </c>
      <c r="R36" s="73" t="s">
        <v>213</v>
      </c>
      <c r="S36" s="19" t="s">
        <v>214</v>
      </c>
    </row>
    <row r="37" spans="1:19" ht="392">
      <c r="A37" s="20">
        <f t="shared" si="0"/>
        <v>35</v>
      </c>
      <c r="B37" s="20" t="s">
        <v>215</v>
      </c>
      <c r="C37" s="20" t="s">
        <v>216</v>
      </c>
      <c r="D37" s="20" t="s">
        <v>172</v>
      </c>
      <c r="E37" s="20" t="s">
        <v>91</v>
      </c>
      <c r="F37" s="20" t="s">
        <v>41</v>
      </c>
      <c r="G37" s="19">
        <v>46112</v>
      </c>
      <c r="H37" s="19">
        <v>46112</v>
      </c>
      <c r="I37" s="20">
        <v>0</v>
      </c>
      <c r="J37" s="20" t="s">
        <v>68</v>
      </c>
      <c r="K37" s="20" t="s">
        <v>123</v>
      </c>
      <c r="L37" s="19">
        <v>46112</v>
      </c>
      <c r="M37" s="19"/>
      <c r="N37" s="21">
        <f>TrackerTable[[#This Row],[Completion Date]]-TrackerTable[[#This Row],[Query Date]]</f>
        <v>0</v>
      </c>
      <c r="O37" s="21">
        <f>TrackerTable[[#This Row],[Completion Date]]-TrackerTable[[#This Row],[Receive Date]]</f>
        <v>0</v>
      </c>
      <c r="P37" s="21">
        <f>TrackerTable[[#This Row],[Receive Date]]-TrackerTable[[#This Row],[Query Date]]</f>
        <v>0</v>
      </c>
      <c r="Q37" s="24">
        <v>46082</v>
      </c>
      <c r="R37" s="73" t="s">
        <v>217</v>
      </c>
      <c r="S37" s="19" t="s">
        <v>218</v>
      </c>
    </row>
    <row r="38" spans="1:19" ht="409.5">
      <c r="A38" s="20">
        <f t="shared" si="0"/>
        <v>36</v>
      </c>
      <c r="B38" s="20" t="s">
        <v>219</v>
      </c>
      <c r="C38" s="20" t="s">
        <v>220</v>
      </c>
      <c r="D38" s="20" t="s">
        <v>57</v>
      </c>
      <c r="E38" s="20" t="s">
        <v>58</v>
      </c>
      <c r="F38" s="20" t="s">
        <v>59</v>
      </c>
      <c r="G38" s="19">
        <v>46108</v>
      </c>
      <c r="H38" s="19">
        <v>46112</v>
      </c>
      <c r="I38" s="20">
        <v>2</v>
      </c>
      <c r="J38" s="20" t="s">
        <v>60</v>
      </c>
      <c r="K38" s="20" t="s">
        <v>43</v>
      </c>
      <c r="L38" s="19">
        <v>46157</v>
      </c>
      <c r="M38" s="19"/>
      <c r="N38" s="21">
        <f>TrackerTable[[#This Row],[Completion Date]]-TrackerTable[[#This Row],[Query Date]]</f>
        <v>49</v>
      </c>
      <c r="O38" s="21">
        <f>TrackerTable[[#This Row],[Completion Date]]-TrackerTable[[#This Row],[Receive Date]]</f>
        <v>45</v>
      </c>
      <c r="P38" s="21">
        <f>TrackerTable[[#This Row],[Receive Date]]-TrackerTable[[#This Row],[Query Date]]</f>
        <v>4</v>
      </c>
      <c r="Q38" s="24">
        <v>46143</v>
      </c>
      <c r="R38" s="73" t="s">
        <v>221</v>
      </c>
      <c r="S38" s="19" t="s">
        <v>222</v>
      </c>
    </row>
    <row r="39" spans="1:19" ht="409.5">
      <c r="A39" s="20">
        <f t="shared" si="0"/>
        <v>37</v>
      </c>
      <c r="B39" s="20" t="s">
        <v>223</v>
      </c>
      <c r="C39" s="20" t="s">
        <v>224</v>
      </c>
      <c r="D39" s="20" t="s">
        <v>57</v>
      </c>
      <c r="E39" s="20" t="s">
        <v>225</v>
      </c>
      <c r="F39" s="20" t="s">
        <v>50</v>
      </c>
      <c r="G39" s="19">
        <v>46111</v>
      </c>
      <c r="H39" s="19">
        <v>46111</v>
      </c>
      <c r="I39" s="20">
        <v>0</v>
      </c>
      <c r="J39" s="20" t="s">
        <v>42</v>
      </c>
      <c r="K39" s="20" t="s">
        <v>43</v>
      </c>
      <c r="L39" s="19">
        <v>46119</v>
      </c>
      <c r="M39" s="19"/>
      <c r="N39" s="21">
        <f>TrackerTable[[#This Row],[Completion Date]]-TrackerTable[[#This Row],[Query Date]]</f>
        <v>8</v>
      </c>
      <c r="O39" s="21">
        <f>TrackerTable[[#This Row],[Completion Date]]-TrackerTable[[#This Row],[Receive Date]]</f>
        <v>8</v>
      </c>
      <c r="P39" s="21">
        <f>TrackerTable[[#This Row],[Receive Date]]-TrackerTable[[#This Row],[Query Date]]</f>
        <v>0</v>
      </c>
      <c r="Q39" s="24">
        <v>46113</v>
      </c>
      <c r="R39" s="73" t="s">
        <v>226</v>
      </c>
      <c r="S39" s="19" t="s">
        <v>227</v>
      </c>
    </row>
    <row r="40" spans="1:19" ht="364">
      <c r="A40" s="20">
        <f t="shared" si="0"/>
        <v>38</v>
      </c>
      <c r="B40" s="20" t="s">
        <v>228</v>
      </c>
      <c r="C40" s="20" t="s">
        <v>229</v>
      </c>
      <c r="D40" s="20" t="s">
        <v>121</v>
      </c>
      <c r="E40" s="20" t="s">
        <v>91</v>
      </c>
      <c r="F40" s="20" t="s">
        <v>41</v>
      </c>
      <c r="G40" s="19">
        <v>46115</v>
      </c>
      <c r="H40" s="19">
        <v>46119</v>
      </c>
      <c r="I40" s="20">
        <v>2</v>
      </c>
      <c r="J40" s="20" t="s">
        <v>60</v>
      </c>
      <c r="K40" s="20" t="s">
        <v>113</v>
      </c>
      <c r="L40" s="19"/>
      <c r="M40" s="19" t="s">
        <v>52</v>
      </c>
      <c r="N40" s="21">
        <f>TrackerTable[[#This Row],[Completion Date]]-TrackerTable[[#This Row],[Query Date]]</f>
        <v>-46115</v>
      </c>
      <c r="O40" s="21">
        <f>TrackerTable[[#This Row],[Completion Date]]-TrackerTable[[#This Row],[Receive Date]]</f>
        <v>-46119</v>
      </c>
      <c r="P40" s="21">
        <f>TrackerTable[[#This Row],[Receive Date]]-TrackerTable[[#This Row],[Query Date]]</f>
        <v>4</v>
      </c>
      <c r="Q40" s="21"/>
      <c r="R40" s="73" t="s">
        <v>230</v>
      </c>
      <c r="S40" s="19"/>
    </row>
    <row r="41" spans="1:19" ht="98">
      <c r="A41" s="20">
        <f t="shared" si="0"/>
        <v>39</v>
      </c>
      <c r="B41" s="20" t="s">
        <v>231</v>
      </c>
      <c r="C41" s="20" t="s">
        <v>232</v>
      </c>
      <c r="D41" s="20" t="s">
        <v>121</v>
      </c>
      <c r="E41" s="20" t="s">
        <v>233</v>
      </c>
      <c r="F41" s="20" t="s">
        <v>41</v>
      </c>
      <c r="G41" s="19">
        <v>46126</v>
      </c>
      <c r="H41" s="19">
        <v>46126</v>
      </c>
      <c r="I41" s="20">
        <v>0</v>
      </c>
      <c r="J41" s="20" t="s">
        <v>68</v>
      </c>
      <c r="K41" s="20" t="s">
        <v>43</v>
      </c>
      <c r="L41" s="19">
        <v>46126</v>
      </c>
      <c r="M41" s="19"/>
      <c r="N41" s="21">
        <f>TrackerTable[[#This Row],[Completion Date]]-TrackerTable[[#This Row],[Query Date]]</f>
        <v>0</v>
      </c>
      <c r="O41" s="21">
        <f>TrackerTable[[#This Row],[Completion Date]]-TrackerTable[[#This Row],[Receive Date]]</f>
        <v>0</v>
      </c>
      <c r="P41" s="21">
        <f>TrackerTable[[#This Row],[Receive Date]]-TrackerTable[[#This Row],[Query Date]]</f>
        <v>0</v>
      </c>
      <c r="Q41" s="24">
        <v>46113</v>
      </c>
      <c r="R41" s="73" t="s">
        <v>234</v>
      </c>
      <c r="S41" s="19" t="s">
        <v>235</v>
      </c>
    </row>
    <row r="42" spans="1:19" ht="409.5">
      <c r="A42" s="20">
        <f t="shared" si="0"/>
        <v>40</v>
      </c>
      <c r="B42" s="20" t="s">
        <v>236</v>
      </c>
      <c r="C42" s="20" t="s">
        <v>237</v>
      </c>
      <c r="D42" s="20" t="s">
        <v>99</v>
      </c>
      <c r="E42" s="20" t="s">
        <v>238</v>
      </c>
      <c r="F42" s="20" t="s">
        <v>41</v>
      </c>
      <c r="G42" s="19">
        <v>46127</v>
      </c>
      <c r="H42" s="19">
        <v>46127</v>
      </c>
      <c r="I42" s="20">
        <v>2</v>
      </c>
      <c r="J42" s="20" t="s">
        <v>60</v>
      </c>
      <c r="K42" s="20" t="s">
        <v>43</v>
      </c>
      <c r="L42" s="19">
        <v>46206</v>
      </c>
      <c r="M42" s="19"/>
      <c r="N42" s="21">
        <f>TrackerTable[[#This Row],[Completion Date]]-TrackerTable[[#This Row],[Query Date]]</f>
        <v>79</v>
      </c>
      <c r="O42" s="21">
        <f>TrackerTable[[#This Row],[Completion Date]]-TrackerTable[[#This Row],[Receive Date]]</f>
        <v>79</v>
      </c>
      <c r="P42" s="21">
        <f>TrackerTable[[#This Row],[Receive Date]]-TrackerTable[[#This Row],[Query Date]]</f>
        <v>0</v>
      </c>
      <c r="Q42" s="21"/>
      <c r="R42" s="73" t="s">
        <v>239</v>
      </c>
      <c r="S42" s="78" t="s">
        <v>240</v>
      </c>
    </row>
    <row r="43" spans="1:19" ht="200.15" customHeight="1">
      <c r="A43" s="20">
        <f t="shared" si="0"/>
        <v>41</v>
      </c>
      <c r="B43" s="20" t="s">
        <v>241</v>
      </c>
      <c r="C43" s="20" t="s">
        <v>242</v>
      </c>
      <c r="D43" s="20" t="s">
        <v>99</v>
      </c>
      <c r="E43" s="20" t="s">
        <v>202</v>
      </c>
      <c r="F43" s="20" t="s">
        <v>59</v>
      </c>
      <c r="G43" s="19">
        <v>46128</v>
      </c>
      <c r="H43" s="19">
        <v>46128</v>
      </c>
      <c r="I43" s="20">
        <v>0</v>
      </c>
      <c r="J43" s="20" t="s">
        <v>42</v>
      </c>
      <c r="K43" s="20" t="s">
        <v>161</v>
      </c>
      <c r="L43" s="19">
        <v>46128</v>
      </c>
      <c r="M43" s="19"/>
      <c r="N43" s="21">
        <f>TrackerTable[[#This Row],[Completion Date]]-TrackerTable[[#This Row],[Query Date]]</f>
        <v>0</v>
      </c>
      <c r="O43" s="21">
        <f>TrackerTable[[#This Row],[Completion Date]]-TrackerTable[[#This Row],[Receive Date]]</f>
        <v>0</v>
      </c>
      <c r="P43" s="21">
        <f>TrackerTable[[#This Row],[Receive Date]]-TrackerTable[[#This Row],[Query Date]]</f>
        <v>0</v>
      </c>
      <c r="Q43" s="24">
        <v>46113</v>
      </c>
      <c r="R43" s="73" t="s">
        <v>243</v>
      </c>
      <c r="S43" s="78" t="s">
        <v>244</v>
      </c>
    </row>
    <row r="44" spans="1:19" ht="409.5">
      <c r="A44" s="20">
        <f t="shared" si="0"/>
        <v>42</v>
      </c>
      <c r="B44" s="20" t="s">
        <v>245</v>
      </c>
      <c r="C44" s="20" t="s">
        <v>246</v>
      </c>
      <c r="D44" s="20" t="s">
        <v>65</v>
      </c>
      <c r="E44" s="20" t="s">
        <v>73</v>
      </c>
      <c r="F44" s="20" t="s">
        <v>50</v>
      </c>
      <c r="G44" s="19">
        <v>46132</v>
      </c>
      <c r="H44" s="19">
        <v>46136</v>
      </c>
      <c r="I44" s="20">
        <v>0</v>
      </c>
      <c r="J44" s="20" t="s">
        <v>42</v>
      </c>
      <c r="K44" s="20" t="s">
        <v>43</v>
      </c>
      <c r="L44" s="19">
        <v>46170</v>
      </c>
      <c r="M44" s="19"/>
      <c r="N44" s="21">
        <f>TrackerTable[[#This Row],[Completion Date]]-TrackerTable[[#This Row],[Query Date]]</f>
        <v>38</v>
      </c>
      <c r="O44" s="21">
        <f>TrackerTable[[#This Row],[Completion Date]]-TrackerTable[[#This Row],[Receive Date]]</f>
        <v>34</v>
      </c>
      <c r="P44" s="21">
        <f>TrackerTable[[#This Row],[Receive Date]]-TrackerTable[[#This Row],[Query Date]]</f>
        <v>4</v>
      </c>
      <c r="Q44" s="24">
        <v>46143</v>
      </c>
      <c r="R44" s="73" t="s">
        <v>247</v>
      </c>
      <c r="S44" s="78" t="s">
        <v>248</v>
      </c>
    </row>
    <row r="45" spans="1:19" ht="266">
      <c r="A45" s="20">
        <f t="shared" si="0"/>
        <v>43</v>
      </c>
      <c r="B45" s="20" t="s">
        <v>249</v>
      </c>
      <c r="C45" s="20" t="s">
        <v>250</v>
      </c>
      <c r="D45" s="20" t="s">
        <v>65</v>
      </c>
      <c r="E45" s="20" t="s">
        <v>251</v>
      </c>
      <c r="F45" s="20" t="s">
        <v>50</v>
      </c>
      <c r="G45" s="19">
        <v>46132</v>
      </c>
      <c r="H45" s="19">
        <v>46135</v>
      </c>
      <c r="I45" s="20">
        <v>0</v>
      </c>
      <c r="J45" s="20" t="s">
        <v>42</v>
      </c>
      <c r="K45" s="20" t="s">
        <v>43</v>
      </c>
      <c r="L45" s="19">
        <v>46157</v>
      </c>
      <c r="M45" s="19"/>
      <c r="N45" s="21">
        <f>TrackerTable[[#This Row],[Completion Date]]-TrackerTable[[#This Row],[Query Date]]</f>
        <v>25</v>
      </c>
      <c r="O45" s="21">
        <f>TrackerTable[[#This Row],[Completion Date]]-TrackerTable[[#This Row],[Receive Date]]</f>
        <v>22</v>
      </c>
      <c r="P45" s="21">
        <f>TrackerTable[[#This Row],[Receive Date]]-TrackerTable[[#This Row],[Query Date]]</f>
        <v>3</v>
      </c>
      <c r="Q45" s="24">
        <v>46143</v>
      </c>
      <c r="R45" s="73" t="s">
        <v>252</v>
      </c>
      <c r="S45" s="78" t="s">
        <v>253</v>
      </c>
    </row>
    <row r="46" spans="1:19" ht="409.5">
      <c r="A46" s="20">
        <f t="shared" si="0"/>
        <v>44</v>
      </c>
      <c r="B46" s="20" t="s">
        <v>55</v>
      </c>
      <c r="C46" s="20" t="s">
        <v>56</v>
      </c>
      <c r="D46" s="20" t="s">
        <v>39</v>
      </c>
      <c r="E46" s="20" t="s">
        <v>58</v>
      </c>
      <c r="F46" s="20" t="s">
        <v>59</v>
      </c>
      <c r="G46" s="19">
        <v>46137</v>
      </c>
      <c r="H46" s="19">
        <v>46137</v>
      </c>
      <c r="I46" s="20">
        <v>2</v>
      </c>
      <c r="J46" s="20" t="s">
        <v>60</v>
      </c>
      <c r="K46" s="20" t="s">
        <v>43</v>
      </c>
      <c r="L46" s="19">
        <v>46162</v>
      </c>
      <c r="M46" s="19" t="s">
        <v>52</v>
      </c>
      <c r="N46" s="21">
        <f>TrackerTable[[#This Row],[Completion Date]]-TrackerTable[[#This Row],[Query Date]]</f>
        <v>25</v>
      </c>
      <c r="O46" s="21">
        <f>TrackerTable[[#This Row],[Completion Date]]-TrackerTable[[#This Row],[Receive Date]]</f>
        <v>25</v>
      </c>
      <c r="P46" s="21">
        <f>TrackerTable[[#This Row],[Receive Date]]-TrackerTable[[#This Row],[Query Date]]</f>
        <v>0</v>
      </c>
      <c r="Q46" s="24">
        <v>46143</v>
      </c>
      <c r="R46" s="73" t="s">
        <v>254</v>
      </c>
      <c r="S46" s="78" t="s">
        <v>255</v>
      </c>
    </row>
    <row r="47" spans="1:19" ht="409.5">
      <c r="A47" s="20">
        <f t="shared" si="0"/>
        <v>45</v>
      </c>
      <c r="B47" s="20" t="s">
        <v>256</v>
      </c>
      <c r="C47" s="20" t="s">
        <v>257</v>
      </c>
      <c r="D47" s="20" t="s">
        <v>99</v>
      </c>
      <c r="E47" s="20" t="s">
        <v>86</v>
      </c>
      <c r="F47" s="20" t="s">
        <v>50</v>
      </c>
      <c r="G47" s="19">
        <v>46133</v>
      </c>
      <c r="H47" s="19">
        <v>46133</v>
      </c>
      <c r="I47" s="20">
        <v>0</v>
      </c>
      <c r="J47" s="20" t="s">
        <v>42</v>
      </c>
      <c r="K47" s="20" t="s">
        <v>43</v>
      </c>
      <c r="L47" s="19">
        <v>46141</v>
      </c>
      <c r="M47" s="19"/>
      <c r="N47" s="21">
        <f>TrackerTable[[#This Row],[Completion Date]]-TrackerTable[[#This Row],[Query Date]]</f>
        <v>8</v>
      </c>
      <c r="O47" s="21">
        <f>TrackerTable[[#This Row],[Completion Date]]-TrackerTable[[#This Row],[Receive Date]]</f>
        <v>8</v>
      </c>
      <c r="P47" s="21">
        <f>TrackerTable[[#This Row],[Receive Date]]-TrackerTable[[#This Row],[Query Date]]</f>
        <v>0</v>
      </c>
      <c r="Q47" s="24">
        <v>46113</v>
      </c>
      <c r="R47" s="73" t="s">
        <v>258</v>
      </c>
      <c r="S47" s="78" t="s">
        <v>259</v>
      </c>
    </row>
    <row r="48" spans="1:19" ht="387.5">
      <c r="A48" s="20">
        <f t="shared" si="0"/>
        <v>46</v>
      </c>
      <c r="B48" s="20" t="s">
        <v>260</v>
      </c>
      <c r="C48" s="20" t="s">
        <v>261</v>
      </c>
      <c r="D48" s="20" t="s">
        <v>48</v>
      </c>
      <c r="E48" s="20" t="s">
        <v>262</v>
      </c>
      <c r="F48" s="20" t="s">
        <v>263</v>
      </c>
      <c r="G48" s="19">
        <v>46155</v>
      </c>
      <c r="H48" s="19">
        <v>46155</v>
      </c>
      <c r="I48" s="20">
        <v>1</v>
      </c>
      <c r="J48" s="20" t="s">
        <v>68</v>
      </c>
      <c r="K48" s="20" t="s">
        <v>43</v>
      </c>
      <c r="L48" s="19">
        <v>46183</v>
      </c>
      <c r="M48" s="19"/>
      <c r="N48" s="21">
        <f>TrackerTable[[#This Row],[Completion Date]]-TrackerTable[[#This Row],[Query Date]]</f>
        <v>28</v>
      </c>
      <c r="O48" s="21">
        <f>TrackerTable[[#This Row],[Completion Date]]-TrackerTable[[#This Row],[Receive Date]]</f>
        <v>28</v>
      </c>
      <c r="P48" s="21">
        <f>TrackerTable[[#This Row],[Receive Date]]-TrackerTable[[#This Row],[Query Date]]</f>
        <v>0</v>
      </c>
      <c r="Q48" s="24">
        <v>46174</v>
      </c>
      <c r="R48" s="73" t="s">
        <v>264</v>
      </c>
      <c r="S48" s="78" t="s">
        <v>265</v>
      </c>
    </row>
    <row r="49" spans="1:19" ht="266">
      <c r="A49" s="20">
        <f t="shared" si="0"/>
        <v>47</v>
      </c>
      <c r="B49" s="20" t="s">
        <v>266</v>
      </c>
      <c r="C49" s="20" t="s">
        <v>151</v>
      </c>
      <c r="D49" s="20" t="s">
        <v>79</v>
      </c>
      <c r="E49" s="20" t="s">
        <v>202</v>
      </c>
      <c r="F49" s="20" t="s">
        <v>59</v>
      </c>
      <c r="G49" s="19">
        <v>46155</v>
      </c>
      <c r="H49" s="19">
        <v>46155</v>
      </c>
      <c r="I49" s="20">
        <v>0</v>
      </c>
      <c r="J49" s="20" t="s">
        <v>42</v>
      </c>
      <c r="K49" s="20" t="s">
        <v>43</v>
      </c>
      <c r="L49" s="19">
        <v>46160</v>
      </c>
      <c r="M49" s="19"/>
      <c r="N49" s="21">
        <f>TrackerTable[[#This Row],[Completion Date]]-TrackerTable[[#This Row],[Query Date]]</f>
        <v>5</v>
      </c>
      <c r="O49" s="21">
        <f>TrackerTable[[#This Row],[Completion Date]]-TrackerTable[[#This Row],[Receive Date]]</f>
        <v>5</v>
      </c>
      <c r="P49" s="21">
        <f>TrackerTable[[#This Row],[Receive Date]]-TrackerTable[[#This Row],[Query Date]]</f>
        <v>0</v>
      </c>
      <c r="Q49" s="24">
        <v>46143</v>
      </c>
      <c r="R49" s="73" t="s">
        <v>267</v>
      </c>
      <c r="S49" s="19" t="s">
        <v>268</v>
      </c>
    </row>
    <row r="50" spans="1:19" ht="182">
      <c r="A50" s="20">
        <f t="shared" si="0"/>
        <v>48</v>
      </c>
      <c r="B50" s="20" t="s">
        <v>269</v>
      </c>
      <c r="C50" s="20" t="s">
        <v>270</v>
      </c>
      <c r="D50" s="20" t="s">
        <v>57</v>
      </c>
      <c r="E50" s="20" t="s">
        <v>271</v>
      </c>
      <c r="F50" s="20" t="s">
        <v>167</v>
      </c>
      <c r="G50" s="19">
        <v>46156</v>
      </c>
      <c r="H50" s="19">
        <v>46157</v>
      </c>
      <c r="I50" s="20">
        <v>0</v>
      </c>
      <c r="J50" s="20" t="s">
        <v>42</v>
      </c>
      <c r="K50" s="20" t="s">
        <v>43</v>
      </c>
      <c r="L50" s="19">
        <v>46160</v>
      </c>
      <c r="M50" s="19" t="s">
        <v>52</v>
      </c>
      <c r="N50" s="21">
        <f>TrackerTable[[#This Row],[Completion Date]]-TrackerTable[[#This Row],[Query Date]]</f>
        <v>4</v>
      </c>
      <c r="O50" s="21">
        <f>TrackerTable[[#This Row],[Completion Date]]-TrackerTable[[#This Row],[Receive Date]]</f>
        <v>3</v>
      </c>
      <c r="P50" s="21">
        <f>TrackerTable[[#This Row],[Receive Date]]-TrackerTable[[#This Row],[Query Date]]</f>
        <v>1</v>
      </c>
      <c r="Q50" s="24">
        <v>46143</v>
      </c>
      <c r="R50" s="73" t="s">
        <v>272</v>
      </c>
      <c r="S50" s="19" t="s">
        <v>273</v>
      </c>
    </row>
    <row r="51" spans="1:19" ht="266">
      <c r="A51" s="20">
        <f t="shared" si="0"/>
        <v>49</v>
      </c>
      <c r="B51" s="20" t="s">
        <v>158</v>
      </c>
      <c r="C51" s="25" t="s">
        <v>159</v>
      </c>
      <c r="D51" s="20" t="s">
        <v>99</v>
      </c>
      <c r="E51" s="20" t="s">
        <v>274</v>
      </c>
      <c r="F51" s="20" t="s">
        <v>59</v>
      </c>
      <c r="G51" s="19">
        <v>46150</v>
      </c>
      <c r="H51" s="19">
        <v>46150</v>
      </c>
      <c r="I51" s="20">
        <v>0</v>
      </c>
      <c r="J51" s="20" t="s">
        <v>68</v>
      </c>
      <c r="K51" s="20" t="s">
        <v>43</v>
      </c>
      <c r="L51" s="19">
        <v>46171</v>
      </c>
      <c r="M51" s="19" t="s">
        <v>52</v>
      </c>
      <c r="N51" s="21">
        <f>TrackerTable[[#This Row],[Completion Date]]-TrackerTable[[#This Row],[Query Date]]</f>
        <v>21</v>
      </c>
      <c r="O51" s="21">
        <f>TrackerTable[[#This Row],[Completion Date]]-TrackerTable[[#This Row],[Receive Date]]</f>
        <v>21</v>
      </c>
      <c r="P51" s="21">
        <f>TrackerTable[[#This Row],[Receive Date]]-TrackerTable[[#This Row],[Query Date]]</f>
        <v>0</v>
      </c>
      <c r="Q51" s="24">
        <v>46143</v>
      </c>
      <c r="R51" s="73" t="s">
        <v>275</v>
      </c>
      <c r="S51" s="31" t="s">
        <v>276</v>
      </c>
    </row>
    <row r="52" spans="1:19" ht="112">
      <c r="A52" s="20">
        <f t="shared" si="0"/>
        <v>50</v>
      </c>
      <c r="B52" s="20" t="s">
        <v>277</v>
      </c>
      <c r="C52" s="20" t="s">
        <v>278</v>
      </c>
      <c r="D52" s="20" t="s">
        <v>121</v>
      </c>
      <c r="E52" s="20" t="s">
        <v>279</v>
      </c>
      <c r="F52" s="20" t="s">
        <v>67</v>
      </c>
      <c r="G52" s="19">
        <v>46162</v>
      </c>
      <c r="H52" s="19">
        <v>46163</v>
      </c>
      <c r="I52" s="20">
        <v>2</v>
      </c>
      <c r="J52" s="20" t="s">
        <v>60</v>
      </c>
      <c r="K52" s="20" t="s">
        <v>280</v>
      </c>
      <c r="L52" s="19"/>
      <c r="M52" s="19"/>
      <c r="N52" s="21">
        <f>TrackerTable[[#This Row],[Completion Date]]-TrackerTable[[#This Row],[Query Date]]</f>
        <v>-46162</v>
      </c>
      <c r="O52" s="21">
        <f>TrackerTable[[#This Row],[Completion Date]]-TrackerTable[[#This Row],[Receive Date]]</f>
        <v>-46163</v>
      </c>
      <c r="P52" s="21">
        <f>TrackerTable[[#This Row],[Receive Date]]-TrackerTable[[#This Row],[Query Date]]</f>
        <v>1</v>
      </c>
      <c r="Q52" s="21"/>
      <c r="R52" s="73" t="s">
        <v>281</v>
      </c>
      <c r="S52" s="19"/>
    </row>
    <row r="53" spans="1:19" ht="252">
      <c r="A53" s="20">
        <f t="shared" si="0"/>
        <v>51</v>
      </c>
      <c r="B53" s="20" t="s">
        <v>282</v>
      </c>
      <c r="C53" s="20" t="s">
        <v>283</v>
      </c>
      <c r="D53" s="20" t="s">
        <v>121</v>
      </c>
      <c r="E53" s="20" t="s">
        <v>284</v>
      </c>
      <c r="F53" s="20" t="s">
        <v>188</v>
      </c>
      <c r="G53" s="19">
        <v>46163</v>
      </c>
      <c r="H53" s="19">
        <v>46164</v>
      </c>
      <c r="I53" s="20">
        <v>0</v>
      </c>
      <c r="J53" s="20" t="s">
        <v>42</v>
      </c>
      <c r="K53" s="20" t="s">
        <v>43</v>
      </c>
      <c r="L53" s="19">
        <v>46183</v>
      </c>
      <c r="M53" s="19"/>
      <c r="N53" s="21">
        <f>TrackerTable[[#This Row],[Completion Date]]-TrackerTable[[#This Row],[Query Date]]</f>
        <v>20</v>
      </c>
      <c r="O53" s="21">
        <f>TrackerTable[[#This Row],[Completion Date]]-TrackerTable[[#This Row],[Receive Date]]</f>
        <v>19</v>
      </c>
      <c r="P53" s="21">
        <f>TrackerTable[[#This Row],[Receive Date]]-TrackerTable[[#This Row],[Query Date]]</f>
        <v>1</v>
      </c>
      <c r="Q53" s="24">
        <v>46174</v>
      </c>
      <c r="R53" s="73" t="s">
        <v>285</v>
      </c>
      <c r="S53" s="19" t="s">
        <v>286</v>
      </c>
    </row>
    <row r="54" spans="1:19" ht="409.5">
      <c r="A54" s="20">
        <f t="shared" si="0"/>
        <v>52</v>
      </c>
      <c r="B54" s="20" t="s">
        <v>256</v>
      </c>
      <c r="C54" s="20" t="s">
        <v>257</v>
      </c>
      <c r="D54" s="20" t="s">
        <v>39</v>
      </c>
      <c r="E54" s="20" t="s">
        <v>86</v>
      </c>
      <c r="F54" s="20" t="s">
        <v>50</v>
      </c>
      <c r="G54" s="19">
        <v>46168</v>
      </c>
      <c r="H54" s="19">
        <v>46168</v>
      </c>
      <c r="I54" s="20">
        <v>0</v>
      </c>
      <c r="J54" s="20" t="s">
        <v>68</v>
      </c>
      <c r="K54" s="20" t="s">
        <v>43</v>
      </c>
      <c r="L54" s="19">
        <v>46208</v>
      </c>
      <c r="M54" s="19"/>
      <c r="N54" s="21">
        <f>TrackerTable[[#This Row],[Completion Date]]-TrackerTable[[#This Row],[Query Date]]</f>
        <v>40</v>
      </c>
      <c r="O54" s="21">
        <f>TrackerTable[[#This Row],[Completion Date]]-TrackerTable[[#This Row],[Receive Date]]</f>
        <v>40</v>
      </c>
      <c r="P54" s="21">
        <f>TrackerTable[[#This Row],[Receive Date]]-TrackerTable[[#This Row],[Query Date]]</f>
        <v>0</v>
      </c>
      <c r="Q54" s="21"/>
      <c r="R54" s="73" t="s">
        <v>287</v>
      </c>
      <c r="S54" s="19" t="s">
        <v>288</v>
      </c>
    </row>
    <row r="55" spans="1:19" ht="168">
      <c r="A55" s="20">
        <f t="shared" si="0"/>
        <v>53</v>
      </c>
      <c r="B55" s="20" t="s">
        <v>104</v>
      </c>
      <c r="C55" s="20" t="s">
        <v>182</v>
      </c>
      <c r="D55" s="20" t="s">
        <v>99</v>
      </c>
      <c r="E55" s="20" t="s">
        <v>289</v>
      </c>
      <c r="F55" s="20" t="s">
        <v>101</v>
      </c>
      <c r="G55" s="19">
        <v>46170</v>
      </c>
      <c r="H55" s="19">
        <v>46170</v>
      </c>
      <c r="I55" s="20">
        <v>2</v>
      </c>
      <c r="J55" s="20" t="s">
        <v>60</v>
      </c>
      <c r="K55" s="20" t="s">
        <v>280</v>
      </c>
      <c r="L55" s="19"/>
      <c r="M55" s="19"/>
      <c r="N55" s="21">
        <f>TrackerTable[[#This Row],[Completion Date]]-TrackerTable[[#This Row],[Query Date]]</f>
        <v>-46170</v>
      </c>
      <c r="O55" s="21">
        <f>TrackerTable[[#This Row],[Completion Date]]-TrackerTable[[#This Row],[Receive Date]]</f>
        <v>-46170</v>
      </c>
      <c r="P55" s="21">
        <f>TrackerTable[[#This Row],[Receive Date]]-TrackerTable[[#This Row],[Query Date]]</f>
        <v>0</v>
      </c>
      <c r="Q55" s="21"/>
      <c r="R55" s="73" t="s">
        <v>290</v>
      </c>
      <c r="S55" s="19"/>
    </row>
    <row r="56" spans="1:19" ht="409.5">
      <c r="A56" s="20">
        <f t="shared" si="0"/>
        <v>54</v>
      </c>
      <c r="B56" s="20" t="s">
        <v>291</v>
      </c>
      <c r="C56" s="20" t="s">
        <v>292</v>
      </c>
      <c r="D56" s="20" t="s">
        <v>99</v>
      </c>
      <c r="E56" s="20" t="s">
        <v>86</v>
      </c>
      <c r="F56" s="20" t="s">
        <v>59</v>
      </c>
      <c r="G56" s="19">
        <v>46168</v>
      </c>
      <c r="H56" s="19">
        <v>46171</v>
      </c>
      <c r="I56" s="20">
        <v>0</v>
      </c>
      <c r="J56" s="20" t="s">
        <v>42</v>
      </c>
      <c r="K56" s="20" t="s">
        <v>43</v>
      </c>
      <c r="L56" s="19">
        <v>46188</v>
      </c>
      <c r="M56" s="19"/>
      <c r="N56" s="21">
        <f>TrackerTable[[#This Row],[Completion Date]]-TrackerTable[[#This Row],[Query Date]]</f>
        <v>20</v>
      </c>
      <c r="O56" s="21">
        <f>TrackerTable[[#This Row],[Completion Date]]-TrackerTable[[#This Row],[Receive Date]]</f>
        <v>17</v>
      </c>
      <c r="P56" s="21">
        <f>TrackerTable[[#This Row],[Receive Date]]-TrackerTable[[#This Row],[Query Date]]</f>
        <v>3</v>
      </c>
      <c r="Q56" s="24">
        <v>46174</v>
      </c>
      <c r="R56" s="73" t="s">
        <v>293</v>
      </c>
      <c r="S56" s="19" t="s">
        <v>294</v>
      </c>
    </row>
    <row r="57" spans="1:19" ht="126">
      <c r="A57" s="20">
        <f t="shared" si="0"/>
        <v>55</v>
      </c>
      <c r="B57" s="20" t="s">
        <v>295</v>
      </c>
      <c r="C57" s="20" t="s">
        <v>296</v>
      </c>
      <c r="D57" s="20" t="s">
        <v>57</v>
      </c>
      <c r="E57" s="20" t="s">
        <v>297</v>
      </c>
      <c r="F57" s="20" t="s">
        <v>67</v>
      </c>
      <c r="G57" s="19">
        <v>46174</v>
      </c>
      <c r="H57" s="19">
        <v>46174</v>
      </c>
      <c r="I57" s="20">
        <v>0</v>
      </c>
      <c r="J57" s="20" t="s">
        <v>42</v>
      </c>
      <c r="K57" s="20" t="s">
        <v>298</v>
      </c>
      <c r="L57" s="19"/>
      <c r="M57" s="19"/>
      <c r="N57" s="21">
        <f>TrackerTable[[#This Row],[Completion Date]]-TrackerTable[[#This Row],[Query Date]]</f>
        <v>-46174</v>
      </c>
      <c r="O57" s="21">
        <f>TrackerTable[[#This Row],[Completion Date]]-TrackerTable[[#This Row],[Receive Date]]</f>
        <v>-46174</v>
      </c>
      <c r="P57" s="21">
        <f>TrackerTable[[#This Row],[Receive Date]]-TrackerTable[[#This Row],[Query Date]]</f>
        <v>0</v>
      </c>
      <c r="Q57" s="21"/>
      <c r="R57" s="73" t="s">
        <v>299</v>
      </c>
      <c r="S57" s="19"/>
    </row>
    <row r="58" spans="1:19" ht="308">
      <c r="A58" s="20">
        <f t="shared" si="0"/>
        <v>56</v>
      </c>
      <c r="B58" s="20" t="s">
        <v>300</v>
      </c>
      <c r="C58" s="20" t="s">
        <v>301</v>
      </c>
      <c r="D58" s="20" t="s">
        <v>121</v>
      </c>
      <c r="E58" s="20" t="s">
        <v>302</v>
      </c>
      <c r="F58" s="20" t="s">
        <v>188</v>
      </c>
      <c r="G58" s="19">
        <v>46176</v>
      </c>
      <c r="H58" s="19">
        <v>46178</v>
      </c>
      <c r="I58" s="20">
        <v>0</v>
      </c>
      <c r="J58" s="20" t="s">
        <v>42</v>
      </c>
      <c r="K58" s="20" t="s">
        <v>123</v>
      </c>
      <c r="L58" s="19">
        <v>46178</v>
      </c>
      <c r="M58" s="19"/>
      <c r="N58" s="21">
        <f>TrackerTable[[#This Row],[Completion Date]]-TrackerTable[[#This Row],[Query Date]]</f>
        <v>2</v>
      </c>
      <c r="O58" s="21">
        <f>TrackerTable[[#This Row],[Completion Date]]-TrackerTable[[#This Row],[Receive Date]]</f>
        <v>0</v>
      </c>
      <c r="P58" s="21">
        <f>TrackerTable[[#This Row],[Receive Date]]-TrackerTable[[#This Row],[Query Date]]</f>
        <v>2</v>
      </c>
      <c r="Q58" s="24">
        <v>46174</v>
      </c>
      <c r="R58" s="73" t="s">
        <v>303</v>
      </c>
      <c r="S58" s="19" t="s">
        <v>304</v>
      </c>
    </row>
    <row r="59" spans="1:19" ht="168">
      <c r="A59" s="20">
        <f t="shared" si="0"/>
        <v>57</v>
      </c>
      <c r="B59" s="20" t="s">
        <v>305</v>
      </c>
      <c r="C59" s="20" t="s">
        <v>306</v>
      </c>
      <c r="D59" s="20" t="s">
        <v>121</v>
      </c>
      <c r="E59" s="20" t="s">
        <v>197</v>
      </c>
      <c r="F59" s="20" t="s">
        <v>67</v>
      </c>
      <c r="G59" s="19">
        <v>46184</v>
      </c>
      <c r="H59" s="19">
        <v>46185</v>
      </c>
      <c r="I59" s="20">
        <v>0</v>
      </c>
      <c r="J59" s="20" t="s">
        <v>42</v>
      </c>
      <c r="K59" s="20" t="s">
        <v>307</v>
      </c>
      <c r="L59" s="19"/>
      <c r="M59" s="19" t="s">
        <v>52</v>
      </c>
      <c r="N59" s="21">
        <f>TrackerTable[[#This Row],[Completion Date]]-TrackerTable[[#This Row],[Query Date]]</f>
        <v>-46184</v>
      </c>
      <c r="O59" s="21">
        <f>TrackerTable[[#This Row],[Completion Date]]-TrackerTable[[#This Row],[Receive Date]]</f>
        <v>-46185</v>
      </c>
      <c r="P59" s="21">
        <f>TrackerTable[[#This Row],[Receive Date]]-TrackerTable[[#This Row],[Query Date]]</f>
        <v>1</v>
      </c>
      <c r="Q59" s="21"/>
      <c r="R59" s="73" t="s">
        <v>308</v>
      </c>
      <c r="S59" s="19"/>
    </row>
    <row r="60" spans="1:19" ht="266">
      <c r="A60" s="20">
        <f t="shared" si="0"/>
        <v>58</v>
      </c>
      <c r="B60" s="20" t="s">
        <v>104</v>
      </c>
      <c r="C60" s="20" t="s">
        <v>135</v>
      </c>
      <c r="D60" s="20" t="s">
        <v>39</v>
      </c>
      <c r="E60" s="20" t="s">
        <v>49</v>
      </c>
      <c r="F60" s="20" t="s">
        <v>50</v>
      </c>
      <c r="G60" s="19">
        <v>46188</v>
      </c>
      <c r="H60" s="19">
        <v>46188</v>
      </c>
      <c r="I60" s="20">
        <v>0</v>
      </c>
      <c r="J60" s="20" t="s">
        <v>42</v>
      </c>
      <c r="K60" s="20" t="s">
        <v>43</v>
      </c>
      <c r="L60" s="19">
        <v>46189</v>
      </c>
      <c r="M60" s="19"/>
      <c r="N60" s="21">
        <f>TrackerTable[[#This Row],[Completion Date]]-TrackerTable[[#This Row],[Query Date]]</f>
        <v>1</v>
      </c>
      <c r="O60" s="21">
        <f>TrackerTable[[#This Row],[Completion Date]]-TrackerTable[[#This Row],[Receive Date]]</f>
        <v>1</v>
      </c>
      <c r="P60" s="21">
        <f>TrackerTable[[#This Row],[Receive Date]]-TrackerTable[[#This Row],[Query Date]]</f>
        <v>0</v>
      </c>
      <c r="Q60" s="24">
        <v>46174</v>
      </c>
      <c r="R60" s="73" t="s">
        <v>309</v>
      </c>
      <c r="S60" s="19" t="s">
        <v>310</v>
      </c>
    </row>
    <row r="61" spans="1:19" ht="322">
      <c r="A61" s="20">
        <f t="shared" ref="A61:A102" si="1">ROW()-2</f>
        <v>59</v>
      </c>
      <c r="B61" s="20" t="s">
        <v>104</v>
      </c>
      <c r="C61" s="20" t="s">
        <v>135</v>
      </c>
      <c r="D61" s="20" t="s">
        <v>39</v>
      </c>
      <c r="E61" s="20" t="s">
        <v>49</v>
      </c>
      <c r="F61" s="20" t="s">
        <v>50</v>
      </c>
      <c r="G61" s="19">
        <v>46189</v>
      </c>
      <c r="H61" s="19">
        <v>46189</v>
      </c>
      <c r="I61" s="20">
        <v>0</v>
      </c>
      <c r="J61" s="20" t="s">
        <v>42</v>
      </c>
      <c r="K61" s="20" t="s">
        <v>43</v>
      </c>
      <c r="L61" s="19">
        <v>46213</v>
      </c>
      <c r="M61" s="19"/>
      <c r="N61" s="21">
        <f>TrackerTable[[#This Row],[Completion Date]]-TrackerTable[[#This Row],[Query Date]]</f>
        <v>24</v>
      </c>
      <c r="O61" s="21">
        <f>TrackerTable[[#This Row],[Completion Date]]-TrackerTable[[#This Row],[Receive Date]]</f>
        <v>24</v>
      </c>
      <c r="P61" s="21">
        <f>TrackerTable[[#This Row],[Receive Date]]-TrackerTable[[#This Row],[Query Date]]</f>
        <v>0</v>
      </c>
      <c r="Q61" s="21"/>
      <c r="R61" s="73" t="s">
        <v>311</v>
      </c>
      <c r="S61" s="19" t="s">
        <v>312</v>
      </c>
    </row>
    <row r="62" spans="1:19" ht="406">
      <c r="A62" s="20">
        <f t="shared" si="1"/>
        <v>60</v>
      </c>
      <c r="B62" s="20" t="s">
        <v>291</v>
      </c>
      <c r="C62" s="20" t="s">
        <v>292</v>
      </c>
      <c r="D62" s="20" t="s">
        <v>39</v>
      </c>
      <c r="E62" s="20" t="s">
        <v>313</v>
      </c>
      <c r="F62" s="20" t="s">
        <v>59</v>
      </c>
      <c r="G62" s="19">
        <v>46189</v>
      </c>
      <c r="H62" s="19">
        <v>46190</v>
      </c>
      <c r="I62" s="20">
        <v>0</v>
      </c>
      <c r="J62" s="20" t="s">
        <v>314</v>
      </c>
      <c r="K62" s="20" t="s">
        <v>43</v>
      </c>
      <c r="L62" s="19">
        <v>46223</v>
      </c>
      <c r="M62" s="19"/>
      <c r="N62" s="21">
        <f>TrackerTable[[#This Row],[Completion Date]]-TrackerTable[[#This Row],[Query Date]]</f>
        <v>34</v>
      </c>
      <c r="O62" s="21">
        <f>TrackerTable[[#This Row],[Completion Date]]-TrackerTable[[#This Row],[Receive Date]]</f>
        <v>33</v>
      </c>
      <c r="P62" s="21">
        <f>TrackerTable[[#This Row],[Receive Date]]-TrackerTable[[#This Row],[Query Date]]</f>
        <v>1</v>
      </c>
      <c r="Q62" s="21"/>
      <c r="R62" s="73" t="s">
        <v>315</v>
      </c>
      <c r="S62" s="19" t="s">
        <v>316</v>
      </c>
    </row>
    <row r="63" spans="1:19" ht="218.15" customHeight="1">
      <c r="A63" s="20">
        <f t="shared" si="1"/>
        <v>61</v>
      </c>
      <c r="B63" s="20" t="s">
        <v>317</v>
      </c>
      <c r="C63" s="20" t="s">
        <v>318</v>
      </c>
      <c r="D63" s="20" t="s">
        <v>152</v>
      </c>
      <c r="E63" s="20" t="s">
        <v>319</v>
      </c>
      <c r="F63" s="20" t="s">
        <v>154</v>
      </c>
      <c r="G63" s="19">
        <v>46183</v>
      </c>
      <c r="H63" s="19">
        <v>46190</v>
      </c>
      <c r="I63" s="20">
        <v>0</v>
      </c>
      <c r="J63" s="20" t="s">
        <v>320</v>
      </c>
      <c r="K63" s="20" t="s">
        <v>43</v>
      </c>
      <c r="L63" s="19">
        <v>46224</v>
      </c>
      <c r="M63" s="19"/>
      <c r="N63" s="21">
        <f>TrackerTable[[#This Row],[Completion Date]]-TrackerTable[[#This Row],[Query Date]]</f>
        <v>41</v>
      </c>
      <c r="O63" s="21">
        <f>TrackerTable[[#This Row],[Completion Date]]-TrackerTable[[#This Row],[Receive Date]]</f>
        <v>34</v>
      </c>
      <c r="P63" s="21">
        <f>TrackerTable[[#This Row],[Receive Date]]-TrackerTable[[#This Row],[Query Date]]</f>
        <v>7</v>
      </c>
      <c r="Q63" s="21"/>
      <c r="R63" s="73" t="s">
        <v>321</v>
      </c>
      <c r="S63" s="19" t="s">
        <v>322</v>
      </c>
    </row>
    <row r="64" spans="1:19" ht="409.5">
      <c r="A64" s="20">
        <f t="shared" si="1"/>
        <v>62</v>
      </c>
      <c r="B64" s="20" t="s">
        <v>323</v>
      </c>
      <c r="C64" s="20" t="s">
        <v>324</v>
      </c>
      <c r="D64" s="20" t="s">
        <v>65</v>
      </c>
      <c r="E64" s="20" t="s">
        <v>325</v>
      </c>
      <c r="F64" s="20" t="s">
        <v>67</v>
      </c>
      <c r="G64" s="19">
        <v>46189</v>
      </c>
      <c r="H64" s="19">
        <v>46192</v>
      </c>
      <c r="I64" s="20">
        <v>0</v>
      </c>
      <c r="J64" s="20" t="s">
        <v>68</v>
      </c>
      <c r="K64" s="20" t="s">
        <v>43</v>
      </c>
      <c r="L64" s="19">
        <v>46213</v>
      </c>
      <c r="M64" s="19"/>
      <c r="N64" s="21">
        <f>TrackerTable[[#This Row],[Completion Date]]-TrackerTable[[#This Row],[Query Date]]</f>
        <v>24</v>
      </c>
      <c r="O64" s="21">
        <f>TrackerTable[[#This Row],[Completion Date]]-TrackerTable[[#This Row],[Receive Date]]</f>
        <v>21</v>
      </c>
      <c r="P64" s="21">
        <f>TrackerTable[[#This Row],[Receive Date]]-TrackerTable[[#This Row],[Query Date]]</f>
        <v>3</v>
      </c>
      <c r="Q64" s="21"/>
      <c r="R64" s="73" t="s">
        <v>326</v>
      </c>
      <c r="S64" s="19" t="s">
        <v>327</v>
      </c>
    </row>
    <row r="65" spans="1:19" ht="409.5">
      <c r="A65" s="20">
        <f t="shared" si="1"/>
        <v>63</v>
      </c>
      <c r="B65" s="20" t="s">
        <v>55</v>
      </c>
      <c r="C65" s="20" t="s">
        <v>328</v>
      </c>
      <c r="D65" s="20" t="s">
        <v>99</v>
      </c>
      <c r="E65" s="20" t="s">
        <v>329</v>
      </c>
      <c r="F65" s="20" t="s">
        <v>101</v>
      </c>
      <c r="G65" s="19">
        <v>46198</v>
      </c>
      <c r="H65" s="19">
        <v>46198</v>
      </c>
      <c r="I65" s="20">
        <v>0</v>
      </c>
      <c r="J65" s="20" t="s">
        <v>68</v>
      </c>
      <c r="K65" s="20" t="s">
        <v>180</v>
      </c>
      <c r="L65" s="19"/>
      <c r="M65" s="19"/>
      <c r="N65" s="21">
        <f>TrackerTable[[#This Row],[Completion Date]]-TrackerTable[[#This Row],[Query Date]]</f>
        <v>-46198</v>
      </c>
      <c r="O65" s="21">
        <f>TrackerTable[[#This Row],[Completion Date]]-TrackerTable[[#This Row],[Receive Date]]</f>
        <v>-46198</v>
      </c>
      <c r="P65" s="21">
        <f>TrackerTable[[#This Row],[Receive Date]]-TrackerTable[[#This Row],[Query Date]]</f>
        <v>0</v>
      </c>
      <c r="Q65" s="21"/>
      <c r="R65" s="73" t="s">
        <v>330</v>
      </c>
      <c r="S65" s="19"/>
    </row>
    <row r="66" spans="1:19" ht="98">
      <c r="A66" s="20">
        <f t="shared" si="1"/>
        <v>64</v>
      </c>
      <c r="B66" s="20" t="s">
        <v>331</v>
      </c>
      <c r="C66" s="20" t="s">
        <v>332</v>
      </c>
      <c r="D66" s="20" t="s">
        <v>333</v>
      </c>
      <c r="E66" s="20" t="s">
        <v>334</v>
      </c>
      <c r="F66" s="20" t="s">
        <v>67</v>
      </c>
      <c r="G66" s="19">
        <v>46195</v>
      </c>
      <c r="H66" s="19">
        <v>46202</v>
      </c>
      <c r="I66" s="20">
        <v>0</v>
      </c>
      <c r="J66" s="20" t="s">
        <v>68</v>
      </c>
      <c r="K66" s="20" t="s">
        <v>335</v>
      </c>
      <c r="L66" s="19">
        <v>46205</v>
      </c>
      <c r="M66" s="19"/>
      <c r="N66" s="21">
        <f>TrackerTable[[#This Row],[Completion Date]]-TrackerTable[[#This Row],[Query Date]]</f>
        <v>10</v>
      </c>
      <c r="O66" s="21">
        <f>TrackerTable[[#This Row],[Completion Date]]-TrackerTable[[#This Row],[Receive Date]]</f>
        <v>3</v>
      </c>
      <c r="P66" s="21">
        <f>TrackerTable[[#This Row],[Receive Date]]-TrackerTable[[#This Row],[Query Date]]</f>
        <v>7</v>
      </c>
      <c r="Q66" s="21" t="s">
        <v>87</v>
      </c>
      <c r="R66" s="73" t="s">
        <v>336</v>
      </c>
      <c r="S66" s="19" t="s">
        <v>337</v>
      </c>
    </row>
    <row r="67" spans="1:19" ht="84">
      <c r="A67" s="20">
        <f t="shared" si="1"/>
        <v>65</v>
      </c>
      <c r="B67" s="20" t="s">
        <v>338</v>
      </c>
      <c r="C67" s="20" t="s">
        <v>339</v>
      </c>
      <c r="D67" s="20" t="s">
        <v>121</v>
      </c>
      <c r="E67" s="20" t="s">
        <v>340</v>
      </c>
      <c r="F67" s="20" t="s">
        <v>67</v>
      </c>
      <c r="G67" s="19">
        <v>46203</v>
      </c>
      <c r="H67" s="19">
        <v>46206</v>
      </c>
      <c r="I67" s="20">
        <v>0</v>
      </c>
      <c r="J67" s="20" t="s">
        <v>96</v>
      </c>
      <c r="K67" s="20" t="s">
        <v>43</v>
      </c>
      <c r="L67" s="19">
        <v>46211</v>
      </c>
      <c r="M67" s="19"/>
      <c r="N67" s="21">
        <f>TrackerTable[[#This Row],[Completion Date]]-TrackerTable[[#This Row],[Query Date]]</f>
        <v>8</v>
      </c>
      <c r="O67" s="21">
        <f>TrackerTable[[#This Row],[Completion Date]]-TrackerTable[[#This Row],[Receive Date]]</f>
        <v>5</v>
      </c>
      <c r="P67" s="21">
        <f>TrackerTable[[#This Row],[Receive Date]]-TrackerTable[[#This Row],[Query Date]]</f>
        <v>3</v>
      </c>
      <c r="Q67" s="21"/>
      <c r="R67" s="73" t="s">
        <v>341</v>
      </c>
      <c r="S67" s="19" t="s">
        <v>342</v>
      </c>
    </row>
    <row r="68" spans="1:19" ht="84">
      <c r="A68" s="20">
        <f t="shared" si="1"/>
        <v>66</v>
      </c>
      <c r="B68" s="20" t="s">
        <v>343</v>
      </c>
      <c r="C68" s="20" t="s">
        <v>344</v>
      </c>
      <c r="D68" s="20" t="s">
        <v>121</v>
      </c>
      <c r="E68" s="20" t="s">
        <v>91</v>
      </c>
      <c r="F68" s="20" t="s">
        <v>41</v>
      </c>
      <c r="G68" s="19">
        <v>46210</v>
      </c>
      <c r="H68" s="19">
        <v>46211</v>
      </c>
      <c r="I68" s="20">
        <v>2</v>
      </c>
      <c r="J68" s="20" t="s">
        <v>60</v>
      </c>
      <c r="K68" s="20" t="s">
        <v>280</v>
      </c>
      <c r="L68" s="19"/>
      <c r="M68" s="19"/>
      <c r="N68" s="21">
        <f>TrackerTable[[#This Row],[Completion Date]]-TrackerTable[[#This Row],[Query Date]]</f>
        <v>-46210</v>
      </c>
      <c r="O68" s="21">
        <f>TrackerTable[[#This Row],[Completion Date]]-TrackerTable[[#This Row],[Receive Date]]</f>
        <v>-46211</v>
      </c>
      <c r="P68" s="21">
        <f>TrackerTable[[#This Row],[Receive Date]]-TrackerTable[[#This Row],[Query Date]]</f>
        <v>1</v>
      </c>
      <c r="Q68" s="21"/>
      <c r="R68" s="73" t="s">
        <v>345</v>
      </c>
      <c r="S68" s="19"/>
    </row>
    <row r="69" spans="1:19" ht="182">
      <c r="A69" s="20">
        <f t="shared" si="1"/>
        <v>67</v>
      </c>
      <c r="B69" s="20" t="s">
        <v>346</v>
      </c>
      <c r="C69" s="20" t="s">
        <v>347</v>
      </c>
      <c r="D69" s="20" t="s">
        <v>121</v>
      </c>
      <c r="E69" s="20" t="s">
        <v>348</v>
      </c>
      <c r="F69" s="20" t="s">
        <v>101</v>
      </c>
      <c r="G69" s="19">
        <v>46211</v>
      </c>
      <c r="H69" s="19">
        <v>46212</v>
      </c>
      <c r="I69" s="20">
        <v>1</v>
      </c>
      <c r="J69" s="20" t="s">
        <v>42</v>
      </c>
      <c r="K69" s="20" t="s">
        <v>43</v>
      </c>
      <c r="L69" s="19">
        <v>46220</v>
      </c>
      <c r="M69" s="19"/>
      <c r="N69" s="21">
        <f>TrackerTable[[#This Row],[Completion Date]]-TrackerTable[[#This Row],[Query Date]]</f>
        <v>9</v>
      </c>
      <c r="O69" s="21">
        <f>TrackerTable[[#This Row],[Completion Date]]-TrackerTable[[#This Row],[Receive Date]]</f>
        <v>8</v>
      </c>
      <c r="P69" s="21">
        <f>TrackerTable[[#This Row],[Receive Date]]-TrackerTable[[#This Row],[Query Date]]</f>
        <v>1</v>
      </c>
      <c r="Q69" s="21"/>
      <c r="R69" s="73" t="s">
        <v>349</v>
      </c>
      <c r="S69" s="19" t="s">
        <v>350</v>
      </c>
    </row>
    <row r="70" spans="1:19" ht="196">
      <c r="A70" s="20">
        <f t="shared" si="1"/>
        <v>68</v>
      </c>
      <c r="B70" s="20" t="s">
        <v>351</v>
      </c>
      <c r="C70" s="20" t="s">
        <v>332</v>
      </c>
      <c r="D70" s="20" t="s">
        <v>333</v>
      </c>
      <c r="E70" s="20" t="s">
        <v>334</v>
      </c>
      <c r="F70" s="20" t="s">
        <v>67</v>
      </c>
      <c r="G70" s="19">
        <v>46206</v>
      </c>
      <c r="H70" s="19">
        <v>46212</v>
      </c>
      <c r="I70" s="20">
        <v>0</v>
      </c>
      <c r="J70" s="20" t="s">
        <v>42</v>
      </c>
      <c r="K70" s="20" t="s">
        <v>335</v>
      </c>
      <c r="L70" s="19">
        <v>46227</v>
      </c>
      <c r="M70" s="19"/>
      <c r="N70" s="21">
        <f>TrackerTable[[#This Row],[Completion Date]]-TrackerTable[[#This Row],[Query Date]]</f>
        <v>21</v>
      </c>
      <c r="O70" s="21">
        <f>TrackerTable[[#This Row],[Completion Date]]-TrackerTable[[#This Row],[Receive Date]]</f>
        <v>15</v>
      </c>
      <c r="P70" s="21">
        <f>TrackerTable[[#This Row],[Receive Date]]-TrackerTable[[#This Row],[Query Date]]</f>
        <v>6</v>
      </c>
      <c r="Q70" s="21" t="s">
        <v>87</v>
      </c>
      <c r="R70" s="73" t="s">
        <v>352</v>
      </c>
      <c r="S70" s="19" t="s">
        <v>353</v>
      </c>
    </row>
    <row r="71" spans="1:19" ht="409.5">
      <c r="A71" s="20">
        <f t="shared" si="1"/>
        <v>69</v>
      </c>
      <c r="B71" s="20" t="s">
        <v>241</v>
      </c>
      <c r="C71" s="20" t="s">
        <v>354</v>
      </c>
      <c r="D71" s="20" t="s">
        <v>99</v>
      </c>
      <c r="E71" s="20" t="s">
        <v>355</v>
      </c>
      <c r="F71" s="20" t="s">
        <v>59</v>
      </c>
      <c r="G71" s="19">
        <v>46216</v>
      </c>
      <c r="H71" s="19">
        <v>46216</v>
      </c>
      <c r="I71" s="20">
        <v>2</v>
      </c>
      <c r="J71" s="20" t="s">
        <v>60</v>
      </c>
      <c r="K71" s="20" t="s">
        <v>280</v>
      </c>
      <c r="L71" s="19"/>
      <c r="M71" s="19" t="s">
        <v>52</v>
      </c>
      <c r="N71" s="21">
        <f>TrackerTable[[#This Row],[Completion Date]]-TrackerTable[[#This Row],[Query Date]]</f>
        <v>-46216</v>
      </c>
      <c r="O71" s="21">
        <f>TrackerTable[[#This Row],[Completion Date]]-TrackerTable[[#This Row],[Receive Date]]</f>
        <v>-46216</v>
      </c>
      <c r="P71" s="21">
        <f>TrackerTable[[#This Row],[Receive Date]]-TrackerTable[[#This Row],[Query Date]]</f>
        <v>0</v>
      </c>
      <c r="Q71" s="21"/>
      <c r="R71" s="73" t="s">
        <v>356</v>
      </c>
      <c r="S71" s="19"/>
    </row>
    <row r="72" spans="1:19" ht="409.5">
      <c r="A72" s="20">
        <f t="shared" si="1"/>
        <v>70</v>
      </c>
      <c r="B72" s="20" t="s">
        <v>357</v>
      </c>
      <c r="C72" s="20" t="s">
        <v>358</v>
      </c>
      <c r="D72" s="20" t="s">
        <v>79</v>
      </c>
      <c r="E72" s="20" t="s">
        <v>359</v>
      </c>
      <c r="F72" s="19" t="s">
        <v>112</v>
      </c>
      <c r="G72" s="19">
        <v>46217</v>
      </c>
      <c r="H72" s="19">
        <v>46217</v>
      </c>
      <c r="I72" s="20">
        <v>0</v>
      </c>
      <c r="J72" s="20" t="s">
        <v>68</v>
      </c>
      <c r="K72" s="20" t="s">
        <v>360</v>
      </c>
      <c r="L72" s="19"/>
      <c r="M72" s="19"/>
      <c r="N72" s="21">
        <f>TrackerTable[[#This Row],[Completion Date]]-TrackerTable[[#This Row],[Query Date]]</f>
        <v>-46217</v>
      </c>
      <c r="O72" s="21">
        <f>TrackerTable[[#This Row],[Completion Date]]-TrackerTable[[#This Row],[Receive Date]]</f>
        <v>-46217</v>
      </c>
      <c r="P72" s="21">
        <f>TrackerTable[[#This Row],[Receive Date]]-TrackerTable[[#This Row],[Query Date]]</f>
        <v>0</v>
      </c>
      <c r="Q72" s="21"/>
      <c r="R72" s="73" t="s">
        <v>361</v>
      </c>
      <c r="S72" s="19"/>
    </row>
    <row r="73" spans="1:19" ht="95.25" customHeight="1">
      <c r="A73" s="20">
        <f t="shared" si="1"/>
        <v>71</v>
      </c>
      <c r="B73" s="20" t="s">
        <v>138</v>
      </c>
      <c r="C73" s="20" t="s">
        <v>139</v>
      </c>
      <c r="D73" s="20" t="s">
        <v>57</v>
      </c>
      <c r="E73" s="20" t="s">
        <v>362</v>
      </c>
      <c r="F73" s="20" t="s">
        <v>67</v>
      </c>
      <c r="G73" s="19">
        <v>46209</v>
      </c>
      <c r="H73" s="19">
        <v>46218</v>
      </c>
      <c r="I73" s="20">
        <v>0</v>
      </c>
      <c r="J73" s="20" t="s">
        <v>42</v>
      </c>
      <c r="K73" s="20" t="s">
        <v>280</v>
      </c>
      <c r="L73" s="19"/>
      <c r="M73" s="19"/>
      <c r="N73" s="21">
        <f>TrackerTable[[#This Row],[Completion Date]]-TrackerTable[[#This Row],[Query Date]]</f>
        <v>-46209</v>
      </c>
      <c r="O73" s="21">
        <f>TrackerTable[[#This Row],[Completion Date]]-TrackerTable[[#This Row],[Receive Date]]</f>
        <v>-46218</v>
      </c>
      <c r="P73" s="21">
        <f>TrackerTable[[#This Row],[Receive Date]]-TrackerTable[[#This Row],[Query Date]]</f>
        <v>9</v>
      </c>
      <c r="Q73" s="21"/>
      <c r="R73" s="73" t="s">
        <v>363</v>
      </c>
      <c r="S73" s="19"/>
    </row>
    <row r="74" spans="1:19" ht="210">
      <c r="A74" s="20">
        <f t="shared" si="1"/>
        <v>72</v>
      </c>
      <c r="B74" s="20" t="s">
        <v>364</v>
      </c>
      <c r="C74" s="20" t="s">
        <v>365</v>
      </c>
      <c r="D74" s="20" t="s">
        <v>121</v>
      </c>
      <c r="E74" s="20" t="s">
        <v>366</v>
      </c>
      <c r="F74" s="20" t="s">
        <v>59</v>
      </c>
      <c r="G74" s="19">
        <v>46220</v>
      </c>
      <c r="H74" s="19">
        <v>46223</v>
      </c>
      <c r="I74" s="20">
        <v>0</v>
      </c>
      <c r="J74" s="20" t="s">
        <v>68</v>
      </c>
      <c r="K74" s="20" t="s">
        <v>360</v>
      </c>
      <c r="L74" s="19"/>
      <c r="M74" s="19"/>
      <c r="N74" s="21">
        <f>TrackerTable[[#This Row],[Completion Date]]-TrackerTable[[#This Row],[Query Date]]</f>
        <v>-46220</v>
      </c>
      <c r="O74" s="21">
        <f>TrackerTable[[#This Row],[Completion Date]]-TrackerTable[[#This Row],[Receive Date]]</f>
        <v>-46223</v>
      </c>
      <c r="P74" s="21">
        <f>TrackerTable[[#This Row],[Receive Date]]-TrackerTable[[#This Row],[Query Date]]</f>
        <v>3</v>
      </c>
      <c r="Q74" s="21"/>
      <c r="R74" s="73" t="s">
        <v>367</v>
      </c>
      <c r="S74" s="19"/>
    </row>
    <row r="75" spans="1:19" ht="84">
      <c r="A75" s="20">
        <f t="shared" si="1"/>
        <v>73</v>
      </c>
      <c r="B75" s="20" t="s">
        <v>368</v>
      </c>
      <c r="C75" s="20" t="s">
        <v>369</v>
      </c>
      <c r="D75" s="20" t="s">
        <v>121</v>
      </c>
      <c r="E75" s="20" t="s">
        <v>370</v>
      </c>
      <c r="F75" s="20" t="s">
        <v>59</v>
      </c>
      <c r="G75" s="19">
        <v>46226</v>
      </c>
      <c r="H75" s="19">
        <v>46227</v>
      </c>
      <c r="I75" s="20">
        <v>0</v>
      </c>
      <c r="J75" s="20" t="s">
        <v>68</v>
      </c>
      <c r="K75" s="20" t="s">
        <v>360</v>
      </c>
      <c r="L75" s="19"/>
      <c r="M75" s="19" t="s">
        <v>52</v>
      </c>
      <c r="N75" s="21">
        <f>TrackerTable[[#This Row],[Completion Date]]-TrackerTable[[#This Row],[Query Date]]</f>
        <v>-46226</v>
      </c>
      <c r="O75" s="21">
        <f>TrackerTable[[#This Row],[Completion Date]]-TrackerTable[[#This Row],[Receive Date]]</f>
        <v>-46227</v>
      </c>
      <c r="P75" s="21">
        <f>TrackerTable[[#This Row],[Receive Date]]-TrackerTable[[#This Row],[Query Date]]</f>
        <v>1</v>
      </c>
      <c r="Q75" s="21"/>
      <c r="R75" s="73" t="s">
        <v>371</v>
      </c>
      <c r="S75" s="19"/>
    </row>
    <row r="76" spans="1:19" ht="28">
      <c r="A76" s="20">
        <f t="shared" si="1"/>
        <v>74</v>
      </c>
      <c r="B76" s="20" t="s">
        <v>256</v>
      </c>
      <c r="C76" s="20" t="s">
        <v>257</v>
      </c>
      <c r="D76" s="20" t="s">
        <v>57</v>
      </c>
      <c r="E76" s="20" t="s">
        <v>372</v>
      </c>
      <c r="F76" s="20" t="s">
        <v>59</v>
      </c>
      <c r="G76" s="19">
        <v>46141</v>
      </c>
      <c r="H76" s="19">
        <v>46141</v>
      </c>
      <c r="I76" s="20">
        <v>1</v>
      </c>
      <c r="J76" s="20" t="s">
        <v>373</v>
      </c>
      <c r="K76" s="20" t="s">
        <v>374</v>
      </c>
      <c r="L76" s="19"/>
      <c r="M76" s="19"/>
      <c r="N76" s="21">
        <f>TrackerTable[[#This Row],[Completion Date]]-TrackerTable[[#This Row],[Query Date]]</f>
        <v>-46141</v>
      </c>
      <c r="O76" s="21">
        <f>TrackerTable[[#This Row],[Completion Date]]-TrackerTable[[#This Row],[Receive Date]]</f>
        <v>-46141</v>
      </c>
      <c r="P76" s="21">
        <f>TrackerTable[[#This Row],[Receive Date]]-TrackerTable[[#This Row],[Query Date]]</f>
        <v>0</v>
      </c>
      <c r="Q76" s="21"/>
      <c r="R76" s="19" t="s">
        <v>375</v>
      </c>
      <c r="S76" s="80"/>
    </row>
    <row r="77" spans="1:19" ht="196">
      <c r="A77" s="20">
        <f t="shared" si="1"/>
        <v>75</v>
      </c>
      <c r="B77" s="20" t="s">
        <v>376</v>
      </c>
      <c r="C77" s="20" t="s">
        <v>377</v>
      </c>
      <c r="D77" s="20" t="s">
        <v>121</v>
      </c>
      <c r="E77" s="20" t="s">
        <v>378</v>
      </c>
      <c r="F77" s="20" t="s">
        <v>41</v>
      </c>
      <c r="G77" s="19">
        <v>46231</v>
      </c>
      <c r="H77" s="19">
        <v>46231</v>
      </c>
      <c r="I77" s="20">
        <v>0</v>
      </c>
      <c r="J77" s="20" t="s">
        <v>42</v>
      </c>
      <c r="K77" s="20" t="s">
        <v>360</v>
      </c>
      <c r="L77" s="19"/>
      <c r="M77" s="19"/>
      <c r="N77" s="21">
        <f>TrackerTable[[#This Row],[Completion Date]]-TrackerTable[[#This Row],[Query Date]]</f>
        <v>-46231</v>
      </c>
      <c r="O77" s="21">
        <f>TrackerTable[[#This Row],[Completion Date]]-TrackerTable[[#This Row],[Receive Date]]</f>
        <v>-46231</v>
      </c>
      <c r="P77" s="21">
        <f>TrackerTable[[#This Row],[Receive Date]]-TrackerTable[[#This Row],[Query Date]]</f>
        <v>0</v>
      </c>
      <c r="Q77" s="21"/>
      <c r="R77" s="73" t="s">
        <v>379</v>
      </c>
      <c r="S77" s="19"/>
    </row>
    <row r="78" spans="1:19" ht="140">
      <c r="A78" s="20">
        <f t="shared" si="1"/>
        <v>76</v>
      </c>
      <c r="B78" s="20" t="s">
        <v>236</v>
      </c>
      <c r="C78" s="20" t="s">
        <v>237</v>
      </c>
      <c r="D78" s="20" t="s">
        <v>57</v>
      </c>
      <c r="E78" s="20" t="s">
        <v>380</v>
      </c>
      <c r="F78" s="20" t="s">
        <v>154</v>
      </c>
      <c r="G78" s="19">
        <v>46230</v>
      </c>
      <c r="H78" s="19">
        <v>46231</v>
      </c>
      <c r="I78" s="20">
        <v>0</v>
      </c>
      <c r="J78" s="20" t="s">
        <v>51</v>
      </c>
      <c r="K78" s="20" t="s">
        <v>280</v>
      </c>
      <c r="L78" s="19"/>
      <c r="M78" s="19" t="s">
        <v>52</v>
      </c>
      <c r="N78" s="21">
        <f>TrackerTable[[#This Row],[Completion Date]]-TrackerTable[[#This Row],[Query Date]]</f>
        <v>-46230</v>
      </c>
      <c r="O78" s="21">
        <f>TrackerTable[[#This Row],[Completion Date]]-TrackerTable[[#This Row],[Receive Date]]</f>
        <v>-46231</v>
      </c>
      <c r="P78" s="21">
        <f>TrackerTable[[#This Row],[Receive Date]]-TrackerTable[[#This Row],[Query Date]]</f>
        <v>1</v>
      </c>
      <c r="Q78" s="21"/>
      <c r="R78" s="73" t="s">
        <v>381</v>
      </c>
      <c r="S78" s="19"/>
    </row>
    <row r="79" spans="1:19" ht="308">
      <c r="A79" s="20">
        <f t="shared" si="1"/>
        <v>77</v>
      </c>
      <c r="B79" s="20" t="s">
        <v>382</v>
      </c>
      <c r="C79" s="20" t="s">
        <v>383</v>
      </c>
      <c r="D79" s="20" t="s">
        <v>121</v>
      </c>
      <c r="E79" s="20" t="s">
        <v>86</v>
      </c>
      <c r="F79" s="20" t="s">
        <v>67</v>
      </c>
      <c r="G79" s="19">
        <v>46226</v>
      </c>
      <c r="H79" s="19">
        <v>46232</v>
      </c>
      <c r="I79" s="20">
        <v>0</v>
      </c>
      <c r="J79" s="20" t="s">
        <v>42</v>
      </c>
      <c r="K79" s="20" t="s">
        <v>360</v>
      </c>
      <c r="L79" s="19"/>
      <c r="M79" s="19"/>
      <c r="N79" s="21">
        <f>TrackerTable[[#This Row],[Completion Date]]-TrackerTable[[#This Row],[Query Date]]</f>
        <v>-46226</v>
      </c>
      <c r="O79" s="21">
        <f>TrackerTable[[#This Row],[Completion Date]]-TrackerTable[[#This Row],[Receive Date]]</f>
        <v>-46232</v>
      </c>
      <c r="P79" s="21">
        <f>TrackerTable[[#This Row],[Receive Date]]-TrackerTable[[#This Row],[Query Date]]</f>
        <v>6</v>
      </c>
      <c r="Q79" s="21"/>
      <c r="R79" s="73" t="s">
        <v>384</v>
      </c>
      <c r="S79" s="19"/>
    </row>
    <row r="80" spans="1:19" ht="57" customHeight="1">
      <c r="A80" s="20">
        <f t="shared" si="1"/>
        <v>78</v>
      </c>
      <c r="B80" s="20"/>
      <c r="C80" s="20"/>
      <c r="D80" s="20"/>
      <c r="E80" s="20"/>
      <c r="F80" s="20"/>
      <c r="G80" s="19"/>
      <c r="H80" s="19"/>
      <c r="I80" s="20"/>
      <c r="J80" s="20"/>
      <c r="K80" s="20"/>
      <c r="L80" s="19"/>
      <c r="M80" s="19"/>
      <c r="N80" s="21">
        <f>TrackerTable[[#This Row],[Completion Date]]-TrackerTable[[#This Row],[Query Date]]</f>
        <v>0</v>
      </c>
      <c r="O80" s="21">
        <f>TrackerTable[[#This Row],[Completion Date]]-TrackerTable[[#This Row],[Receive Date]]</f>
        <v>0</v>
      </c>
      <c r="P80" s="21">
        <f>TrackerTable[[#This Row],[Receive Date]]-TrackerTable[[#This Row],[Query Date]]</f>
        <v>0</v>
      </c>
      <c r="Q80" s="21"/>
      <c r="R80" s="73"/>
      <c r="S80" s="19"/>
    </row>
    <row r="81" spans="1:19">
      <c r="A81" s="20">
        <f t="shared" si="1"/>
        <v>79</v>
      </c>
      <c r="B81" s="20"/>
      <c r="C81" s="20"/>
      <c r="D81" s="20"/>
      <c r="E81" s="20"/>
      <c r="F81" s="20"/>
      <c r="G81" s="19"/>
      <c r="H81" s="19"/>
      <c r="I81" s="20"/>
      <c r="J81" s="20"/>
      <c r="K81" s="20"/>
      <c r="L81" s="19"/>
      <c r="M81" s="19"/>
      <c r="N81" s="21">
        <f>TrackerTable[[#This Row],[Completion Date]]-TrackerTable[[#This Row],[Query Date]]</f>
        <v>0</v>
      </c>
      <c r="O81" s="21">
        <f>TrackerTable[[#This Row],[Completion Date]]-TrackerTable[[#This Row],[Receive Date]]</f>
        <v>0</v>
      </c>
      <c r="P81" s="21">
        <f>TrackerTable[[#This Row],[Receive Date]]-TrackerTable[[#This Row],[Query Date]]</f>
        <v>0</v>
      </c>
      <c r="Q81" s="21"/>
      <c r="R81" s="73"/>
      <c r="S81" s="19"/>
    </row>
    <row r="82" spans="1:19">
      <c r="A82" s="20">
        <f t="shared" si="1"/>
        <v>80</v>
      </c>
      <c r="B82" s="20"/>
      <c r="C82" s="20"/>
      <c r="D82" s="20"/>
      <c r="E82" s="20"/>
      <c r="F82" s="20"/>
      <c r="G82" s="19"/>
      <c r="H82" s="19"/>
      <c r="I82" s="20"/>
      <c r="J82" s="20"/>
      <c r="K82" s="20"/>
      <c r="L82" s="19"/>
      <c r="M82" s="19"/>
      <c r="N82" s="21">
        <f>TrackerTable[[#This Row],[Completion Date]]-TrackerTable[[#This Row],[Query Date]]</f>
        <v>0</v>
      </c>
      <c r="O82" s="21">
        <f>TrackerTable[[#This Row],[Completion Date]]-TrackerTable[[#This Row],[Receive Date]]</f>
        <v>0</v>
      </c>
      <c r="P82" s="21">
        <f>TrackerTable[[#This Row],[Receive Date]]-TrackerTable[[#This Row],[Query Date]]</f>
        <v>0</v>
      </c>
      <c r="Q82" s="21"/>
      <c r="R82" s="73"/>
      <c r="S82" s="19"/>
    </row>
    <row r="83" spans="1:19">
      <c r="A83" s="20">
        <f t="shared" si="1"/>
        <v>81</v>
      </c>
      <c r="B83" s="20"/>
      <c r="C83" s="20"/>
      <c r="D83" s="20"/>
      <c r="E83" s="20"/>
      <c r="F83" s="20"/>
      <c r="G83" s="19"/>
      <c r="H83" s="19"/>
      <c r="I83" s="20"/>
      <c r="J83" s="20"/>
      <c r="K83" s="20"/>
      <c r="L83" s="19"/>
      <c r="M83" s="19"/>
      <c r="N83" s="21">
        <f>TrackerTable[[#This Row],[Completion Date]]-TrackerTable[[#This Row],[Query Date]]</f>
        <v>0</v>
      </c>
      <c r="O83" s="21">
        <f>TrackerTable[[#This Row],[Completion Date]]-TrackerTable[[#This Row],[Receive Date]]</f>
        <v>0</v>
      </c>
      <c r="P83" s="21">
        <f>TrackerTable[[#This Row],[Receive Date]]-TrackerTable[[#This Row],[Query Date]]</f>
        <v>0</v>
      </c>
      <c r="Q83" s="21"/>
      <c r="R83" s="73"/>
      <c r="S83" s="19"/>
    </row>
    <row r="84" spans="1:19">
      <c r="A84" s="20">
        <f t="shared" si="1"/>
        <v>82</v>
      </c>
      <c r="B84" s="20"/>
      <c r="C84" s="20"/>
      <c r="D84" s="20"/>
      <c r="E84" s="20"/>
      <c r="F84" s="20"/>
      <c r="G84" s="19"/>
      <c r="H84" s="19"/>
      <c r="I84" s="20"/>
      <c r="J84" s="20"/>
      <c r="K84" s="20"/>
      <c r="L84" s="19"/>
      <c r="M84" s="19"/>
      <c r="N84" s="21">
        <f>TrackerTable[[#This Row],[Completion Date]]-TrackerTable[[#This Row],[Query Date]]</f>
        <v>0</v>
      </c>
      <c r="O84" s="21">
        <f>TrackerTable[[#This Row],[Completion Date]]-TrackerTable[[#This Row],[Receive Date]]</f>
        <v>0</v>
      </c>
      <c r="P84" s="21">
        <f>TrackerTable[[#This Row],[Receive Date]]-TrackerTable[[#This Row],[Query Date]]</f>
        <v>0</v>
      </c>
      <c r="Q84" s="21"/>
      <c r="R84" s="73"/>
      <c r="S84" s="19"/>
    </row>
    <row r="85" spans="1:19">
      <c r="A85" s="20">
        <f t="shared" si="1"/>
        <v>83</v>
      </c>
      <c r="B85" s="20"/>
      <c r="C85" s="20"/>
      <c r="D85" s="20"/>
      <c r="E85" s="20"/>
      <c r="F85" s="20"/>
      <c r="G85" s="19"/>
      <c r="H85" s="19"/>
      <c r="I85" s="20"/>
      <c r="J85" s="20"/>
      <c r="K85" s="20"/>
      <c r="L85" s="19"/>
      <c r="M85" s="19"/>
      <c r="N85" s="21">
        <f>TrackerTable[[#This Row],[Completion Date]]-TrackerTable[[#This Row],[Query Date]]</f>
        <v>0</v>
      </c>
      <c r="O85" s="21">
        <f>TrackerTable[[#This Row],[Completion Date]]-TrackerTable[[#This Row],[Receive Date]]</f>
        <v>0</v>
      </c>
      <c r="P85" s="21">
        <f>TrackerTable[[#This Row],[Receive Date]]-TrackerTable[[#This Row],[Query Date]]</f>
        <v>0</v>
      </c>
      <c r="Q85" s="21"/>
      <c r="R85" s="73"/>
      <c r="S85" s="19"/>
    </row>
    <row r="86" spans="1:19">
      <c r="A86" s="20">
        <f t="shared" si="1"/>
        <v>84</v>
      </c>
      <c r="B86" s="20"/>
      <c r="C86" s="20"/>
      <c r="D86" s="20"/>
      <c r="E86" s="20"/>
      <c r="F86" s="20"/>
      <c r="G86" s="19"/>
      <c r="H86" s="19"/>
      <c r="I86" s="20"/>
      <c r="J86" s="20"/>
      <c r="K86" s="20"/>
      <c r="L86" s="19"/>
      <c r="M86" s="19"/>
      <c r="N86" s="21">
        <f>TrackerTable[[#This Row],[Completion Date]]-TrackerTable[[#This Row],[Query Date]]</f>
        <v>0</v>
      </c>
      <c r="O86" s="21">
        <f>TrackerTable[[#This Row],[Completion Date]]-TrackerTable[[#This Row],[Receive Date]]</f>
        <v>0</v>
      </c>
      <c r="P86" s="21">
        <f>TrackerTable[[#This Row],[Receive Date]]-TrackerTable[[#This Row],[Query Date]]</f>
        <v>0</v>
      </c>
      <c r="Q86" s="21"/>
      <c r="R86" s="73"/>
      <c r="S86" s="19"/>
    </row>
    <row r="87" spans="1:19">
      <c r="A87" s="20">
        <f t="shared" si="1"/>
        <v>85</v>
      </c>
      <c r="B87" s="20"/>
      <c r="C87" s="20"/>
      <c r="D87" s="20"/>
      <c r="E87" s="20"/>
      <c r="F87" s="20"/>
      <c r="G87" s="19"/>
      <c r="H87" s="19"/>
      <c r="I87" s="20"/>
      <c r="J87" s="20"/>
      <c r="K87" s="20"/>
      <c r="L87" s="19"/>
      <c r="M87" s="19"/>
      <c r="N87" s="21">
        <f>TrackerTable[[#This Row],[Completion Date]]-TrackerTable[[#This Row],[Query Date]]</f>
        <v>0</v>
      </c>
      <c r="O87" s="21">
        <f>TrackerTable[[#This Row],[Completion Date]]-TrackerTable[[#This Row],[Receive Date]]</f>
        <v>0</v>
      </c>
      <c r="P87" s="21">
        <f>TrackerTable[[#This Row],[Receive Date]]-TrackerTable[[#This Row],[Query Date]]</f>
        <v>0</v>
      </c>
      <c r="Q87" s="21"/>
      <c r="R87" s="73"/>
      <c r="S87" s="19"/>
    </row>
    <row r="88" spans="1:19">
      <c r="A88" s="20">
        <f t="shared" si="1"/>
        <v>86</v>
      </c>
      <c r="B88" s="20"/>
      <c r="C88" s="20"/>
      <c r="D88" s="20"/>
      <c r="E88" s="20"/>
      <c r="F88" s="20"/>
      <c r="G88" s="19"/>
      <c r="H88" s="19"/>
      <c r="I88" s="20"/>
      <c r="J88" s="20"/>
      <c r="K88" s="20"/>
      <c r="L88" s="19"/>
      <c r="M88" s="19"/>
      <c r="N88" s="21">
        <f>TrackerTable[[#This Row],[Completion Date]]-TrackerTable[[#This Row],[Query Date]]</f>
        <v>0</v>
      </c>
      <c r="O88" s="21">
        <f>TrackerTable[[#This Row],[Completion Date]]-TrackerTable[[#This Row],[Receive Date]]</f>
        <v>0</v>
      </c>
      <c r="P88" s="21">
        <f>TrackerTable[[#This Row],[Receive Date]]-TrackerTable[[#This Row],[Query Date]]</f>
        <v>0</v>
      </c>
      <c r="Q88" s="21"/>
      <c r="R88" s="73"/>
      <c r="S88" s="19"/>
    </row>
    <row r="89" spans="1:19">
      <c r="A89" s="20">
        <f t="shared" si="1"/>
        <v>87</v>
      </c>
      <c r="B89" s="20"/>
      <c r="C89" s="20"/>
      <c r="D89" s="20"/>
      <c r="E89" s="20"/>
      <c r="F89" s="20"/>
      <c r="G89" s="19"/>
      <c r="H89" s="19"/>
      <c r="I89" s="20"/>
      <c r="J89" s="20"/>
      <c r="K89" s="20"/>
      <c r="L89" s="19"/>
      <c r="M89" s="19"/>
      <c r="N89" s="21">
        <f>TrackerTable[[#This Row],[Completion Date]]-TrackerTable[[#This Row],[Query Date]]</f>
        <v>0</v>
      </c>
      <c r="O89" s="21">
        <f>TrackerTable[[#This Row],[Completion Date]]-TrackerTable[[#This Row],[Receive Date]]</f>
        <v>0</v>
      </c>
      <c r="P89" s="21">
        <f>TrackerTable[[#This Row],[Receive Date]]-TrackerTable[[#This Row],[Query Date]]</f>
        <v>0</v>
      </c>
      <c r="Q89" s="21"/>
      <c r="R89" s="73"/>
      <c r="S89" s="19"/>
    </row>
    <row r="90" spans="1:19">
      <c r="A90" s="20">
        <f t="shared" si="1"/>
        <v>88</v>
      </c>
      <c r="B90" s="20"/>
      <c r="C90" s="20"/>
      <c r="D90" s="20"/>
      <c r="E90" s="20"/>
      <c r="F90" s="20"/>
      <c r="G90" s="19"/>
      <c r="H90" s="19"/>
      <c r="I90" s="20"/>
      <c r="J90" s="20"/>
      <c r="K90" s="20"/>
      <c r="L90" s="19"/>
      <c r="M90" s="19"/>
      <c r="N90" s="21">
        <f>TrackerTable[[#This Row],[Completion Date]]-TrackerTable[[#This Row],[Query Date]]</f>
        <v>0</v>
      </c>
      <c r="O90" s="21">
        <f>TrackerTable[[#This Row],[Completion Date]]-TrackerTable[[#This Row],[Receive Date]]</f>
        <v>0</v>
      </c>
      <c r="P90" s="21">
        <f>TrackerTable[[#This Row],[Receive Date]]-TrackerTable[[#This Row],[Query Date]]</f>
        <v>0</v>
      </c>
      <c r="Q90" s="21"/>
      <c r="R90" s="73"/>
      <c r="S90" s="19"/>
    </row>
    <row r="91" spans="1:19">
      <c r="A91" s="20">
        <f t="shared" si="1"/>
        <v>89</v>
      </c>
      <c r="B91" s="20"/>
      <c r="C91" s="20"/>
      <c r="D91" s="20"/>
      <c r="E91" s="20"/>
      <c r="F91" s="20"/>
      <c r="G91" s="19"/>
      <c r="H91" s="19"/>
      <c r="I91" s="20"/>
      <c r="J91" s="20"/>
      <c r="K91" s="20"/>
      <c r="L91" s="19"/>
      <c r="M91" s="19"/>
      <c r="N91" s="21">
        <f>TrackerTable[[#This Row],[Completion Date]]-TrackerTable[[#This Row],[Query Date]]</f>
        <v>0</v>
      </c>
      <c r="O91" s="21">
        <f>TrackerTable[[#This Row],[Completion Date]]-TrackerTable[[#This Row],[Receive Date]]</f>
        <v>0</v>
      </c>
      <c r="P91" s="21">
        <f>TrackerTable[[#This Row],[Receive Date]]-TrackerTable[[#This Row],[Query Date]]</f>
        <v>0</v>
      </c>
      <c r="Q91" s="21"/>
      <c r="R91" s="73"/>
      <c r="S91" s="19"/>
    </row>
    <row r="92" spans="1:19">
      <c r="A92" s="20">
        <f t="shared" si="1"/>
        <v>90</v>
      </c>
      <c r="B92" s="20"/>
      <c r="C92" s="20"/>
      <c r="D92" s="20"/>
      <c r="E92" s="20"/>
      <c r="F92" s="20"/>
      <c r="G92" s="19"/>
      <c r="H92" s="19"/>
      <c r="I92" s="20"/>
      <c r="J92" s="20"/>
      <c r="K92" s="20"/>
      <c r="L92" s="19"/>
      <c r="M92" s="19"/>
      <c r="N92" s="21">
        <f>TrackerTable[[#This Row],[Completion Date]]-TrackerTable[[#This Row],[Query Date]]</f>
        <v>0</v>
      </c>
      <c r="O92" s="21">
        <f>TrackerTable[[#This Row],[Completion Date]]-TrackerTable[[#This Row],[Receive Date]]</f>
        <v>0</v>
      </c>
      <c r="P92" s="21">
        <f>TrackerTable[[#This Row],[Receive Date]]-TrackerTable[[#This Row],[Query Date]]</f>
        <v>0</v>
      </c>
      <c r="Q92" s="21"/>
      <c r="R92" s="73"/>
      <c r="S92" s="19"/>
    </row>
    <row r="93" spans="1:19">
      <c r="A93" s="20">
        <f t="shared" si="1"/>
        <v>91</v>
      </c>
      <c r="B93" s="20"/>
      <c r="C93" s="20"/>
      <c r="D93" s="20"/>
      <c r="E93" s="20"/>
      <c r="F93" s="20"/>
      <c r="G93" s="19"/>
      <c r="H93" s="19"/>
      <c r="I93" s="20"/>
      <c r="J93" s="20"/>
      <c r="K93" s="20"/>
      <c r="L93" s="19"/>
      <c r="M93" s="19"/>
      <c r="N93" s="21">
        <f>TrackerTable[[#This Row],[Completion Date]]-TrackerTable[[#This Row],[Query Date]]</f>
        <v>0</v>
      </c>
      <c r="O93" s="21">
        <f>TrackerTable[[#This Row],[Completion Date]]-TrackerTable[[#This Row],[Receive Date]]</f>
        <v>0</v>
      </c>
      <c r="P93" s="21">
        <f>TrackerTable[[#This Row],[Receive Date]]-TrackerTable[[#This Row],[Query Date]]</f>
        <v>0</v>
      </c>
      <c r="Q93" s="21"/>
      <c r="R93" s="73"/>
      <c r="S93" s="19"/>
    </row>
    <row r="94" spans="1:19">
      <c r="A94" s="20">
        <f t="shared" si="1"/>
        <v>92</v>
      </c>
      <c r="B94" s="20"/>
      <c r="C94" s="20"/>
      <c r="D94" s="20"/>
      <c r="E94" s="20"/>
      <c r="F94" s="20"/>
      <c r="G94" s="19"/>
      <c r="H94" s="19"/>
      <c r="I94" s="20"/>
      <c r="J94" s="20"/>
      <c r="K94" s="20"/>
      <c r="L94" s="19"/>
      <c r="M94" s="19"/>
      <c r="N94" s="21">
        <f>TrackerTable[[#This Row],[Completion Date]]-TrackerTable[[#This Row],[Query Date]]</f>
        <v>0</v>
      </c>
      <c r="O94" s="21">
        <f>TrackerTable[[#This Row],[Completion Date]]-TrackerTable[[#This Row],[Receive Date]]</f>
        <v>0</v>
      </c>
      <c r="P94" s="21">
        <f>TrackerTable[[#This Row],[Receive Date]]-TrackerTable[[#This Row],[Query Date]]</f>
        <v>0</v>
      </c>
      <c r="Q94" s="21"/>
      <c r="R94" s="73"/>
      <c r="S94" s="19"/>
    </row>
    <row r="95" spans="1:19">
      <c r="A95" s="20">
        <f t="shared" si="1"/>
        <v>93</v>
      </c>
      <c r="B95" s="20"/>
      <c r="C95" s="20"/>
      <c r="D95" s="20"/>
      <c r="E95" s="20"/>
      <c r="F95" s="20"/>
      <c r="G95" s="19"/>
      <c r="H95" s="19"/>
      <c r="I95" s="20"/>
      <c r="J95" s="20"/>
      <c r="K95" s="20"/>
      <c r="L95" s="19"/>
      <c r="M95" s="19"/>
      <c r="N95" s="21">
        <f>TrackerTable[[#This Row],[Completion Date]]-TrackerTable[[#This Row],[Query Date]]</f>
        <v>0</v>
      </c>
      <c r="O95" s="21">
        <f>TrackerTable[[#This Row],[Completion Date]]-TrackerTable[[#This Row],[Receive Date]]</f>
        <v>0</v>
      </c>
      <c r="P95" s="21">
        <f>TrackerTable[[#This Row],[Receive Date]]-TrackerTable[[#This Row],[Query Date]]</f>
        <v>0</v>
      </c>
      <c r="Q95" s="21"/>
      <c r="R95" s="73"/>
      <c r="S95" s="19"/>
    </row>
    <row r="96" spans="1:19">
      <c r="A96" s="20">
        <f t="shared" si="1"/>
        <v>94</v>
      </c>
      <c r="B96" s="20"/>
      <c r="C96" s="20"/>
      <c r="D96" s="20"/>
      <c r="E96" s="20"/>
      <c r="F96" s="20"/>
      <c r="G96" s="19"/>
      <c r="H96" s="19"/>
      <c r="I96" s="20"/>
      <c r="J96" s="20"/>
      <c r="K96" s="20"/>
      <c r="L96" s="19"/>
      <c r="M96" s="19"/>
      <c r="N96" s="21">
        <f>TrackerTable[[#This Row],[Completion Date]]-TrackerTable[[#This Row],[Query Date]]</f>
        <v>0</v>
      </c>
      <c r="O96" s="21">
        <f>TrackerTable[[#This Row],[Completion Date]]-TrackerTable[[#This Row],[Receive Date]]</f>
        <v>0</v>
      </c>
      <c r="P96" s="21">
        <f>TrackerTable[[#This Row],[Receive Date]]-TrackerTable[[#This Row],[Query Date]]</f>
        <v>0</v>
      </c>
      <c r="Q96" s="21"/>
      <c r="R96" s="73"/>
      <c r="S96" s="19"/>
    </row>
    <row r="97" spans="1:19">
      <c r="A97" s="20">
        <f t="shared" si="1"/>
        <v>95</v>
      </c>
      <c r="B97" s="20"/>
      <c r="C97" s="20"/>
      <c r="D97" s="20"/>
      <c r="E97" s="20"/>
      <c r="F97" s="20"/>
      <c r="G97" s="19"/>
      <c r="H97" s="19"/>
      <c r="I97" s="20"/>
      <c r="J97" s="20"/>
      <c r="K97" s="20"/>
      <c r="L97" s="19"/>
      <c r="M97" s="19"/>
      <c r="N97" s="21">
        <f>TrackerTable[[#This Row],[Completion Date]]-TrackerTable[[#This Row],[Query Date]]</f>
        <v>0</v>
      </c>
      <c r="O97" s="21">
        <f>TrackerTable[[#This Row],[Completion Date]]-TrackerTable[[#This Row],[Receive Date]]</f>
        <v>0</v>
      </c>
      <c r="P97" s="21">
        <f>TrackerTable[[#This Row],[Receive Date]]-TrackerTable[[#This Row],[Query Date]]</f>
        <v>0</v>
      </c>
      <c r="Q97" s="21"/>
      <c r="R97" s="73"/>
      <c r="S97" s="19"/>
    </row>
    <row r="98" spans="1:19">
      <c r="A98" s="20">
        <f t="shared" si="1"/>
        <v>96</v>
      </c>
      <c r="B98" s="20"/>
      <c r="C98" s="20"/>
      <c r="D98" s="20"/>
      <c r="E98" s="20"/>
      <c r="F98" s="20"/>
      <c r="G98" s="19"/>
      <c r="H98" s="19"/>
      <c r="I98" s="20"/>
      <c r="J98" s="20"/>
      <c r="K98" s="20"/>
      <c r="L98" s="19"/>
      <c r="M98" s="19"/>
      <c r="N98" s="21">
        <f>TrackerTable[[#This Row],[Completion Date]]-TrackerTable[[#This Row],[Query Date]]</f>
        <v>0</v>
      </c>
      <c r="O98" s="21">
        <f>TrackerTable[[#This Row],[Completion Date]]-TrackerTable[[#This Row],[Receive Date]]</f>
        <v>0</v>
      </c>
      <c r="P98" s="21">
        <f>TrackerTable[[#This Row],[Receive Date]]-TrackerTable[[#This Row],[Query Date]]</f>
        <v>0</v>
      </c>
      <c r="Q98" s="21"/>
      <c r="R98" s="73"/>
      <c r="S98" s="19"/>
    </row>
    <row r="99" spans="1:19">
      <c r="A99" s="20">
        <f t="shared" si="1"/>
        <v>97</v>
      </c>
      <c r="B99" s="20"/>
      <c r="C99" s="20"/>
      <c r="D99" s="20"/>
      <c r="E99" s="20"/>
      <c r="F99" s="20"/>
      <c r="G99" s="19"/>
      <c r="H99" s="19"/>
      <c r="I99" s="20"/>
      <c r="J99" s="20"/>
      <c r="K99" s="20"/>
      <c r="L99" s="19"/>
      <c r="M99" s="19"/>
      <c r="N99" s="21">
        <f>TrackerTable[[#This Row],[Completion Date]]-TrackerTable[[#This Row],[Query Date]]</f>
        <v>0</v>
      </c>
      <c r="O99" s="21">
        <f>TrackerTable[[#This Row],[Completion Date]]-TrackerTable[[#This Row],[Receive Date]]</f>
        <v>0</v>
      </c>
      <c r="P99" s="21">
        <f>TrackerTable[[#This Row],[Receive Date]]-TrackerTable[[#This Row],[Query Date]]</f>
        <v>0</v>
      </c>
      <c r="Q99" s="21"/>
      <c r="R99" s="73"/>
      <c r="S99" s="19"/>
    </row>
    <row r="100" spans="1:19">
      <c r="A100" s="20">
        <f t="shared" si="1"/>
        <v>98</v>
      </c>
      <c r="B100" s="20"/>
      <c r="C100" s="20"/>
      <c r="D100" s="20"/>
      <c r="E100" s="20"/>
      <c r="F100" s="20"/>
      <c r="G100" s="19"/>
      <c r="H100" s="19"/>
      <c r="I100" s="20"/>
      <c r="J100" s="20"/>
      <c r="K100" s="20"/>
      <c r="L100" s="19"/>
      <c r="M100" s="19"/>
      <c r="N100" s="21">
        <f>TrackerTable[[#This Row],[Completion Date]]-TrackerTable[[#This Row],[Query Date]]</f>
        <v>0</v>
      </c>
      <c r="O100" s="21">
        <f>TrackerTable[[#This Row],[Completion Date]]-TrackerTable[[#This Row],[Receive Date]]</f>
        <v>0</v>
      </c>
      <c r="P100" s="21">
        <f>TrackerTable[[#This Row],[Receive Date]]-TrackerTable[[#This Row],[Query Date]]</f>
        <v>0</v>
      </c>
      <c r="Q100" s="21"/>
      <c r="R100" s="73"/>
      <c r="S100" s="19"/>
    </row>
    <row r="101" spans="1:19">
      <c r="A101" s="20">
        <f t="shared" si="1"/>
        <v>99</v>
      </c>
      <c r="B101" s="20"/>
      <c r="C101" s="20"/>
      <c r="D101" s="20"/>
      <c r="E101" s="20"/>
      <c r="F101" s="20"/>
      <c r="G101" s="19"/>
      <c r="H101" s="19"/>
      <c r="I101" s="20"/>
      <c r="J101" s="20"/>
      <c r="K101" s="20"/>
      <c r="L101" s="19"/>
      <c r="M101" s="19"/>
      <c r="N101" s="21">
        <f>TrackerTable[[#This Row],[Completion Date]]-TrackerTable[[#This Row],[Query Date]]</f>
        <v>0</v>
      </c>
      <c r="O101" s="21">
        <f>TrackerTable[[#This Row],[Completion Date]]-TrackerTable[[#This Row],[Receive Date]]</f>
        <v>0</v>
      </c>
      <c r="P101" s="21">
        <f>TrackerTable[[#This Row],[Receive Date]]-TrackerTable[[#This Row],[Query Date]]</f>
        <v>0</v>
      </c>
      <c r="Q101" s="21"/>
      <c r="R101" s="73"/>
      <c r="S101" s="19"/>
    </row>
    <row r="102" spans="1:19">
      <c r="A102" s="20">
        <f t="shared" si="1"/>
        <v>100</v>
      </c>
      <c r="B102" s="20"/>
      <c r="C102" s="20"/>
      <c r="D102" s="20"/>
      <c r="E102" s="20"/>
      <c r="F102" s="20"/>
      <c r="G102" s="19"/>
      <c r="H102" s="19"/>
      <c r="I102" s="20"/>
      <c r="J102" s="20"/>
      <c r="K102" s="20"/>
      <c r="L102" s="19"/>
      <c r="M102" s="19"/>
      <c r="N102" s="21">
        <f>TrackerTable[[#This Row],[Completion Date]]-TrackerTable[[#This Row],[Query Date]]</f>
        <v>0</v>
      </c>
      <c r="O102" s="21">
        <f>TrackerTable[[#This Row],[Completion Date]]-TrackerTable[[#This Row],[Receive Date]]</f>
        <v>0</v>
      </c>
      <c r="P102" s="21">
        <f>TrackerTable[[#This Row],[Receive Date]]-TrackerTable[[#This Row],[Query Date]]</f>
        <v>0</v>
      </c>
      <c r="Q102" s="21"/>
      <c r="R102" s="73"/>
      <c r="S102" s="19"/>
    </row>
    <row r="103" spans="1:19" ht="43.5">
      <c r="A103" s="22" t="s">
        <v>385</v>
      </c>
      <c r="B103" s="23"/>
      <c r="C103" s="23"/>
      <c r="D103" s="23"/>
      <c r="E103" s="23"/>
      <c r="F103" s="23"/>
      <c r="G103" s="23"/>
      <c r="H103" s="23"/>
      <c r="I103" s="23"/>
      <c r="J103" s="23"/>
      <c r="K103" s="23"/>
      <c r="L103" s="23"/>
      <c r="M103" s="23"/>
      <c r="N103" s="23"/>
      <c r="O103" s="23"/>
      <c r="P103" s="23"/>
      <c r="Q103" s="23"/>
      <c r="R103" s="75"/>
      <c r="S103" s="79"/>
    </row>
  </sheetData>
  <phoneticPr fontId="7" type="noConversion"/>
  <dataValidations count="5">
    <dataValidation type="list" allowBlank="1" showInputMessage="1" showErrorMessage="1" sqref="J3:J102">
      <formula1>Assignee</formula1>
    </dataValidation>
    <dataValidation type="list" allowBlank="1" showInputMessage="1" showErrorMessage="1" sqref="D3:D102">
      <formula1>Channel</formula1>
    </dataValidation>
    <dataValidation type="list" allowBlank="1" showInputMessage="1" showErrorMessage="1" sqref="K3:K102">
      <formula1>Status</formula1>
    </dataValidation>
    <dataValidation type="list" allowBlank="1" showInputMessage="1" showErrorMessage="1" sqref="I3:I102">
      <formula1>Group</formula1>
    </dataValidation>
    <dataValidation type="list" allowBlank="1" showInputMessage="1" showErrorMessage="1" sqref="F3:F102">
      <formula1>Category</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32E934EB-756A-4AAD-AD1D-7A60A500B433}">
            <xm:f>NOT(ISERROR(SEARCH(List!$E$15,K1)))</xm:f>
            <xm:f>List!$E$15</xm:f>
            <x14:dxf>
              <font>
                <strike val="0"/>
                <color auto="1"/>
              </font>
              <fill>
                <patternFill>
                  <bgColor theme="6" tint="0.79998168889431442"/>
                </patternFill>
              </fill>
            </x14:dxf>
          </x14:cfRule>
          <x14:cfRule type="containsText" priority="2" operator="containsText" id="{8B1EC121-906F-4BA3-A408-0722141A4445}">
            <xm:f>NOT(ISERROR(SEARCH(List!$E$2,K1)))</xm:f>
            <xm:f>List!$E$2</xm:f>
            <x14:dxf>
              <font>
                <strike val="0"/>
                <color auto="1"/>
              </font>
              <fill>
                <patternFill>
                  <bgColor theme="3" tint="0.89996032593768116"/>
                </patternFill>
              </fill>
            </x14:dxf>
          </x14:cfRule>
          <x14:cfRule type="containsText" priority="3" operator="containsText" id="{79A71548-1463-4BDD-8145-358D84B7E3C2}">
            <xm:f>NOT(ISERROR(SEARCH(List!$E$3,K1)))</xm:f>
            <xm:f>List!$E$3</xm:f>
            <x14:dxf>
              <font>
                <strike val="0"/>
                <color auto="1"/>
              </font>
              <fill>
                <patternFill>
                  <bgColor theme="3" tint="0.89996032593768116"/>
                </patternFill>
              </fill>
            </x14:dxf>
          </x14:cfRule>
          <x14:cfRule type="containsText" priority="4" operator="containsText" id="{03CD2154-7299-4497-BE33-191762E94454}">
            <xm:f>NOT(ISERROR(SEARCH(List!$E$4,K1)))</xm:f>
            <xm:f>List!$E$4</xm:f>
            <x14:dxf>
              <font>
                <strike val="0"/>
                <color auto="1"/>
              </font>
              <fill>
                <patternFill>
                  <bgColor theme="3" tint="0.89996032593768116"/>
                </patternFill>
              </fill>
            </x14:dxf>
          </x14:cfRule>
          <x14:cfRule type="containsText" priority="5" operator="containsText" id="{BF54B485-0432-4399-ACCF-3C140DAEFD2D}">
            <xm:f>NOT(ISERROR(SEARCH(List!$E$5,K1)))</xm:f>
            <xm:f>List!$E$5</xm:f>
            <x14:dxf>
              <font>
                <strike val="0"/>
                <color auto="1"/>
              </font>
              <fill>
                <patternFill>
                  <bgColor theme="5" tint="0.79998168889431442"/>
                </patternFill>
              </fill>
            </x14:dxf>
          </x14:cfRule>
          <x14:cfRule type="containsText" priority="6" operator="containsText" id="{81E44481-0E83-4111-97F9-3307151B913D}">
            <xm:f>NOT(ISERROR(SEARCH(List!$E$6,K1)))</xm:f>
            <xm:f>List!$E$6</xm:f>
            <x14:dxf>
              <font>
                <strike val="0"/>
                <color auto="1"/>
              </font>
              <fill>
                <patternFill>
                  <bgColor theme="5" tint="0.79998168889431442"/>
                </patternFill>
              </fill>
            </x14:dxf>
          </x14:cfRule>
          <x14:cfRule type="containsText" priority="7" operator="containsText" id="{F2A65212-AD50-42E4-A7AA-4DF61ACDE771}">
            <xm:f>NOT(ISERROR(SEARCH(List!$E$7,K1)))</xm:f>
            <xm:f>List!$E$7</xm:f>
            <x14:dxf>
              <font>
                <strike val="0"/>
                <color auto="1"/>
              </font>
              <fill>
                <patternFill>
                  <bgColor theme="5" tint="0.79998168889431442"/>
                </patternFill>
              </fill>
            </x14:dxf>
          </x14:cfRule>
          <x14:cfRule type="containsText" priority="8" operator="containsText" id="{53B4E0D9-0321-4837-BAF2-041076EE5E37}">
            <xm:f>NOT(ISERROR(SEARCH(List!$E$8,K1)))</xm:f>
            <xm:f>List!$E$8</xm:f>
            <x14:dxf>
              <font>
                <strike val="0"/>
                <color auto="1"/>
              </font>
              <fill>
                <patternFill>
                  <bgColor theme="5" tint="0.79998168889431442"/>
                </patternFill>
              </fill>
            </x14:dxf>
          </x14:cfRule>
          <x14:cfRule type="containsText" priority="9" operator="containsText" id="{B49DD385-5602-4481-8EFE-D5486D0F1403}">
            <xm:f>NOT(ISERROR(SEARCH(List!$E$9,K1)))</xm:f>
            <xm:f>List!$E$9</xm:f>
            <x14:dxf>
              <font>
                <strike val="0"/>
                <color auto="1"/>
              </font>
              <fill>
                <patternFill>
                  <bgColor theme="5" tint="0.79998168889431442"/>
                </patternFill>
              </fill>
            </x14:dxf>
          </x14:cfRule>
          <x14:cfRule type="containsText" priority="10" operator="containsText" id="{8C1CF515-B9A0-49C9-8D86-55DB0F84D694}">
            <xm:f>NOT(ISERROR(SEARCH(List!$E$10,K1)))</xm:f>
            <xm:f>List!$E$10</xm:f>
            <x14:dxf>
              <font>
                <strike val="0"/>
                <color auto="1"/>
              </font>
              <fill>
                <patternFill>
                  <bgColor theme="6" tint="0.79998168889431442"/>
                </patternFill>
              </fill>
            </x14:dxf>
          </x14:cfRule>
          <x14:cfRule type="containsText" priority="11" operator="containsText" id="{2CF0926D-D1E3-49E2-8BCC-D62BA049AFE4}">
            <xm:f>NOT(ISERROR(SEARCH(List!$E$11,K1)))</xm:f>
            <xm:f>List!$E$11</xm:f>
            <x14:dxf>
              <font>
                <strike val="0"/>
                <color auto="1"/>
              </font>
              <fill>
                <patternFill>
                  <bgColor theme="6" tint="0.79998168889431442"/>
                </patternFill>
              </fill>
            </x14:dxf>
          </x14:cfRule>
          <x14:cfRule type="containsText" priority="13" operator="containsText" id="{C70A21CA-344C-4633-A166-6A983CAB7FFC}">
            <xm:f>NOT(ISERROR(SEARCH(List!$E$12,K1)))</xm:f>
            <xm:f>List!$E$12</xm:f>
            <x14:dxf>
              <font>
                <strike val="0"/>
                <color auto="1"/>
              </font>
              <fill>
                <patternFill>
                  <bgColor theme="6" tint="0.79998168889431442"/>
                </patternFill>
              </fill>
            </x14:dxf>
          </x14:cfRule>
          <x14:cfRule type="containsText" priority="14" operator="containsText" id="{A209BD08-9F84-452C-873D-8723EF2FF70B}">
            <xm:f>NOT(ISERROR(SEARCH(List!$E$13,K1)))</xm:f>
            <xm:f>List!$E$13</xm:f>
            <x14:dxf>
              <font>
                <strike val="0"/>
                <color auto="1"/>
              </font>
              <fill>
                <patternFill>
                  <bgColor theme="6" tint="0.79998168889431442"/>
                </patternFill>
              </fill>
            </x14:dxf>
          </x14:cfRule>
          <x14:cfRule type="containsText" priority="15" operator="containsText" id="{15FFA716-149A-446F-AF63-841A87CF60A1}">
            <xm:f>NOT(ISERROR(SEARCH(List!$E$14,K1)))</xm:f>
            <xm:f>List!$E$14</xm:f>
            <x14:dxf>
              <font>
                <strike val="0"/>
                <color auto="1"/>
              </font>
              <fill>
                <patternFill>
                  <bgColor theme="6" tint="0.79998168889431442"/>
                </patternFill>
              </fill>
            </x14:dxf>
          </x14:cfRule>
          <xm:sqref>K1:K1048576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41"/>
  <sheetViews>
    <sheetView tabSelected="1" zoomScale="80" zoomScaleNormal="80" workbookViewId="0">
      <selection activeCell="S2" sqref="S2"/>
    </sheetView>
  </sheetViews>
  <sheetFormatPr defaultRowHeight="14"/>
  <cols>
    <col min="1" max="1" width="3.9140625" bestFit="1" customWidth="1"/>
    <col min="2" max="2" width="22.58203125" bestFit="1" customWidth="1"/>
    <col min="3" max="3" width="25.75" bestFit="1" customWidth="1"/>
    <col min="4" max="4" width="14.6640625" bestFit="1" customWidth="1"/>
    <col min="5" max="5" width="12.08203125" bestFit="1" customWidth="1"/>
    <col min="6" max="6" width="15.5" bestFit="1" customWidth="1"/>
    <col min="7" max="7" width="11.25" bestFit="1" customWidth="1"/>
    <col min="8" max="8" width="13.08203125" bestFit="1" customWidth="1"/>
    <col min="9" max="9" width="12.6640625" bestFit="1" customWidth="1"/>
    <col min="10" max="10" width="12.25" bestFit="1" customWidth="1"/>
    <col min="11" max="11" width="10.5" bestFit="1" customWidth="1"/>
    <col min="12" max="12" width="16.25" bestFit="1" customWidth="1"/>
    <col min="13" max="13" width="12.83203125" bestFit="1" customWidth="1"/>
    <col min="14" max="14" width="19.58203125" bestFit="1" customWidth="1"/>
    <col min="15" max="15" width="20.83203125" bestFit="1" customWidth="1"/>
    <col min="16" max="16" width="25.4140625" bestFit="1" customWidth="1"/>
    <col min="17" max="17" width="27.08203125" bestFit="1" customWidth="1"/>
    <col min="18" max="19" width="255.58203125" bestFit="1" customWidth="1"/>
  </cols>
  <sheetData>
    <row r="1" spans="1:19">
      <c r="A1" s="4" t="s">
        <v>0</v>
      </c>
      <c r="B1" s="4" t="s">
        <v>1</v>
      </c>
      <c r="C1" s="4" t="s">
        <v>2</v>
      </c>
      <c r="D1" s="4" t="s">
        <v>3</v>
      </c>
      <c r="E1" s="4" t="s">
        <v>4</v>
      </c>
      <c r="F1" s="4" t="s">
        <v>5</v>
      </c>
      <c r="G1" s="4" t="s">
        <v>6</v>
      </c>
      <c r="H1" s="4" t="s">
        <v>7</v>
      </c>
      <c r="I1" s="4" t="s">
        <v>8</v>
      </c>
      <c r="J1" s="4" t="s">
        <v>9</v>
      </c>
      <c r="K1" s="4" t="s">
        <v>10</v>
      </c>
      <c r="L1" s="4" t="s">
        <v>11</v>
      </c>
      <c r="M1" s="4" t="s">
        <v>12</v>
      </c>
      <c r="N1" s="6" t="s">
        <v>13</v>
      </c>
      <c r="O1" s="6" t="s">
        <v>14</v>
      </c>
      <c r="P1" s="6" t="s">
        <v>15</v>
      </c>
      <c r="Q1" s="6" t="s">
        <v>16</v>
      </c>
      <c r="R1" s="71" t="s">
        <v>558</v>
      </c>
      <c r="S1" s="76" t="s">
        <v>559</v>
      </c>
    </row>
    <row r="2" spans="1:19" ht="182">
      <c r="A2" s="20">
        <v>1</v>
      </c>
      <c r="B2" s="20" t="s">
        <v>37</v>
      </c>
      <c r="C2" s="20" t="s">
        <v>38</v>
      </c>
      <c r="D2" s="20" t="s">
        <v>39</v>
      </c>
      <c r="E2" s="20" t="s">
        <v>40</v>
      </c>
      <c r="F2" s="20" t="s">
        <v>41</v>
      </c>
      <c r="G2" s="19">
        <v>45964</v>
      </c>
      <c r="H2" s="19">
        <v>45964</v>
      </c>
      <c r="I2" s="20">
        <v>0</v>
      </c>
      <c r="J2" s="20" t="s">
        <v>42</v>
      </c>
      <c r="K2" s="20" t="s">
        <v>43</v>
      </c>
      <c r="L2" s="19">
        <v>45966</v>
      </c>
      <c r="M2" s="19"/>
      <c r="N2" s="21">
        <v>2</v>
      </c>
      <c r="O2" s="21">
        <v>2</v>
      </c>
      <c r="P2" s="21">
        <v>0</v>
      </c>
      <c r="Q2" s="21"/>
      <c r="R2" s="73" t="s">
        <v>44</v>
      </c>
      <c r="S2" s="19" t="s">
        <v>45</v>
      </c>
    </row>
    <row r="3" spans="1:19" ht="168">
      <c r="A3" s="20">
        <v>2</v>
      </c>
      <c r="B3" s="20" t="s">
        <v>46</v>
      </c>
      <c r="C3" s="20" t="s">
        <v>47</v>
      </c>
      <c r="D3" s="20" t="s">
        <v>48</v>
      </c>
      <c r="E3" s="20" t="s">
        <v>49</v>
      </c>
      <c r="F3" s="20" t="s">
        <v>50</v>
      </c>
      <c r="G3" s="19">
        <v>45972</v>
      </c>
      <c r="H3" s="19">
        <v>45973</v>
      </c>
      <c r="I3" s="20">
        <v>0</v>
      </c>
      <c r="J3" s="20" t="s">
        <v>51</v>
      </c>
      <c r="K3" s="20" t="s">
        <v>43</v>
      </c>
      <c r="L3" s="19">
        <v>46003</v>
      </c>
      <c r="M3" s="19" t="s">
        <v>52</v>
      </c>
      <c r="N3" s="21">
        <v>31</v>
      </c>
      <c r="O3" s="21">
        <v>30</v>
      </c>
      <c r="P3" s="21">
        <v>1</v>
      </c>
      <c r="Q3" s="24">
        <v>45992</v>
      </c>
      <c r="R3" s="73" t="s">
        <v>53</v>
      </c>
      <c r="S3" s="19" t="s">
        <v>54</v>
      </c>
    </row>
    <row r="4" spans="1:19" ht="409.5">
      <c r="A4" s="20">
        <v>4</v>
      </c>
      <c r="B4" s="20" t="s">
        <v>63</v>
      </c>
      <c r="C4" s="20" t="s">
        <v>64</v>
      </c>
      <c r="D4" s="20" t="s">
        <v>65</v>
      </c>
      <c r="E4" s="20" t="s">
        <v>66</v>
      </c>
      <c r="F4" s="20" t="s">
        <v>67</v>
      </c>
      <c r="G4" s="19">
        <v>45995</v>
      </c>
      <c r="H4" s="19">
        <v>46001</v>
      </c>
      <c r="I4" s="20">
        <v>1</v>
      </c>
      <c r="J4" s="20" t="s">
        <v>68</v>
      </c>
      <c r="K4" s="20" t="s">
        <v>43</v>
      </c>
      <c r="L4" s="19">
        <v>46002</v>
      </c>
      <c r="M4" s="19"/>
      <c r="N4" s="21">
        <v>7</v>
      </c>
      <c r="O4" s="21">
        <v>1</v>
      </c>
      <c r="P4" s="21">
        <v>6</v>
      </c>
      <c r="Q4" s="24">
        <v>45992</v>
      </c>
      <c r="R4" s="73" t="s">
        <v>69</v>
      </c>
      <c r="S4" s="19" t="s">
        <v>70</v>
      </c>
    </row>
    <row r="5" spans="1:19" ht="308">
      <c r="A5" s="20">
        <v>6</v>
      </c>
      <c r="B5" s="20" t="s">
        <v>77</v>
      </c>
      <c r="C5" s="20" t="s">
        <v>78</v>
      </c>
      <c r="D5" s="20" t="s">
        <v>79</v>
      </c>
      <c r="E5" s="20" t="s">
        <v>80</v>
      </c>
      <c r="F5" s="20" t="s">
        <v>59</v>
      </c>
      <c r="G5" s="19">
        <v>46006</v>
      </c>
      <c r="H5" s="19">
        <v>46008</v>
      </c>
      <c r="I5" s="20">
        <v>0</v>
      </c>
      <c r="J5" s="20" t="s">
        <v>51</v>
      </c>
      <c r="K5" s="20" t="s">
        <v>43</v>
      </c>
      <c r="L5" s="19">
        <v>46035</v>
      </c>
      <c r="M5" s="19" t="s">
        <v>52</v>
      </c>
      <c r="N5" s="21">
        <v>29</v>
      </c>
      <c r="O5" s="21">
        <v>27</v>
      </c>
      <c r="P5" s="21">
        <v>2</v>
      </c>
      <c r="Q5" s="24">
        <v>46023</v>
      </c>
      <c r="R5" s="73" t="s">
        <v>81</v>
      </c>
      <c r="S5" s="19" t="s">
        <v>82</v>
      </c>
    </row>
    <row r="6" spans="1:19" ht="280">
      <c r="A6" s="20">
        <v>7</v>
      </c>
      <c r="B6" s="20" t="s">
        <v>83</v>
      </c>
      <c r="C6" s="20" t="s">
        <v>84</v>
      </c>
      <c r="D6" s="20" t="s">
        <v>85</v>
      </c>
      <c r="E6" s="20" t="s">
        <v>86</v>
      </c>
      <c r="F6" s="20" t="s">
        <v>41</v>
      </c>
      <c r="G6" s="19">
        <v>46008</v>
      </c>
      <c r="H6" s="19">
        <v>46008</v>
      </c>
      <c r="I6" s="20">
        <v>0</v>
      </c>
      <c r="J6" s="20" t="s">
        <v>42</v>
      </c>
      <c r="K6" s="20" t="s">
        <v>43</v>
      </c>
      <c r="L6" s="19">
        <v>46008</v>
      </c>
      <c r="M6" s="19"/>
      <c r="N6" s="21">
        <v>0</v>
      </c>
      <c r="O6" s="21">
        <v>0</v>
      </c>
      <c r="P6" s="21">
        <v>0</v>
      </c>
      <c r="Q6" s="21" t="s">
        <v>87</v>
      </c>
      <c r="R6" s="73" t="s">
        <v>88</v>
      </c>
      <c r="S6" s="19" t="s">
        <v>89</v>
      </c>
    </row>
    <row r="7" spans="1:19" ht="140">
      <c r="A7" s="20">
        <v>8</v>
      </c>
      <c r="B7" s="20" t="s">
        <v>83</v>
      </c>
      <c r="C7" s="20" t="s">
        <v>90</v>
      </c>
      <c r="D7" s="20" t="s">
        <v>85</v>
      </c>
      <c r="E7" s="20" t="s">
        <v>91</v>
      </c>
      <c r="F7" s="20" t="s">
        <v>41</v>
      </c>
      <c r="G7" s="19">
        <v>45994</v>
      </c>
      <c r="H7" s="19">
        <v>46014</v>
      </c>
      <c r="I7" s="20">
        <v>0</v>
      </c>
      <c r="J7" s="20" t="s">
        <v>42</v>
      </c>
      <c r="K7" s="20" t="s">
        <v>43</v>
      </c>
      <c r="L7" s="19">
        <v>46015</v>
      </c>
      <c r="M7" s="19"/>
      <c r="N7" s="21">
        <v>21</v>
      </c>
      <c r="O7" s="21">
        <v>1</v>
      </c>
      <c r="P7" s="21">
        <v>20</v>
      </c>
      <c r="Q7" s="21" t="s">
        <v>87</v>
      </c>
      <c r="R7" s="73" t="s">
        <v>92</v>
      </c>
      <c r="S7" s="19" t="s">
        <v>93</v>
      </c>
    </row>
    <row r="8" spans="1:19" ht="252">
      <c r="A8" s="20">
        <v>9</v>
      </c>
      <c r="B8" s="20" t="s">
        <v>83</v>
      </c>
      <c r="C8" s="20" t="s">
        <v>90</v>
      </c>
      <c r="D8" s="20" t="s">
        <v>85</v>
      </c>
      <c r="E8" s="20" t="s">
        <v>94</v>
      </c>
      <c r="F8" s="20" t="s">
        <v>95</v>
      </c>
      <c r="G8" s="19">
        <v>46000</v>
      </c>
      <c r="H8" s="19">
        <v>46014</v>
      </c>
      <c r="I8" s="20">
        <v>0</v>
      </c>
      <c r="J8" s="20" t="s">
        <v>96</v>
      </c>
      <c r="K8" s="20" t="s">
        <v>43</v>
      </c>
      <c r="L8" s="19">
        <v>46017</v>
      </c>
      <c r="M8" s="19"/>
      <c r="N8" s="21">
        <v>17</v>
      </c>
      <c r="O8" s="21">
        <v>3</v>
      </c>
      <c r="P8" s="21">
        <v>14</v>
      </c>
      <c r="Q8" s="21" t="s">
        <v>87</v>
      </c>
      <c r="R8" s="73" t="s">
        <v>97</v>
      </c>
      <c r="S8" s="19" t="s">
        <v>98</v>
      </c>
    </row>
    <row r="9" spans="1:19" ht="409.5">
      <c r="A9" s="20">
        <v>10</v>
      </c>
      <c r="B9" s="20" t="s">
        <v>55</v>
      </c>
      <c r="C9" s="20" t="s">
        <v>56</v>
      </c>
      <c r="D9" s="20" t="s">
        <v>99</v>
      </c>
      <c r="E9" s="20" t="s">
        <v>100</v>
      </c>
      <c r="F9" s="20" t="s">
        <v>101</v>
      </c>
      <c r="G9" s="19">
        <v>46015</v>
      </c>
      <c r="H9" s="19">
        <v>46015</v>
      </c>
      <c r="I9" s="20">
        <v>0</v>
      </c>
      <c r="J9" s="20" t="s">
        <v>42</v>
      </c>
      <c r="K9" s="20" t="s">
        <v>43</v>
      </c>
      <c r="L9" s="19">
        <v>46020</v>
      </c>
      <c r="M9" s="19"/>
      <c r="N9" s="21">
        <v>5</v>
      </c>
      <c r="O9" s="21">
        <v>5</v>
      </c>
      <c r="P9" s="21">
        <v>0</v>
      </c>
      <c r="Q9" s="24">
        <v>45992</v>
      </c>
      <c r="R9" s="73" t="s">
        <v>102</v>
      </c>
      <c r="S9" s="19" t="s">
        <v>103</v>
      </c>
    </row>
    <row r="10" spans="1:19" ht="409.5">
      <c r="A10" s="20">
        <v>11</v>
      </c>
      <c r="B10" s="20" t="s">
        <v>104</v>
      </c>
      <c r="C10" s="20" t="s">
        <v>105</v>
      </c>
      <c r="D10" s="20" t="s">
        <v>57</v>
      </c>
      <c r="E10" s="20" t="s">
        <v>106</v>
      </c>
      <c r="F10" s="20" t="s">
        <v>67</v>
      </c>
      <c r="G10" s="19">
        <v>46002</v>
      </c>
      <c r="H10" s="19">
        <v>46002</v>
      </c>
      <c r="I10" s="20">
        <v>2</v>
      </c>
      <c r="J10" s="20" t="s">
        <v>60</v>
      </c>
      <c r="K10" s="20" t="s">
        <v>43</v>
      </c>
      <c r="L10" s="19">
        <v>46163</v>
      </c>
      <c r="M10" s="19" t="s">
        <v>52</v>
      </c>
      <c r="N10" s="21">
        <v>161</v>
      </c>
      <c r="O10" s="21">
        <v>161</v>
      </c>
      <c r="P10" s="21">
        <v>0</v>
      </c>
      <c r="Q10" s="24">
        <v>46143</v>
      </c>
      <c r="R10" s="73" t="s">
        <v>107</v>
      </c>
      <c r="S10" s="19" t="s">
        <v>108</v>
      </c>
    </row>
    <row r="11" spans="1:19" ht="308">
      <c r="A11" s="20">
        <v>13</v>
      </c>
      <c r="B11" s="20" t="s">
        <v>63</v>
      </c>
      <c r="C11" s="20" t="s">
        <v>64</v>
      </c>
      <c r="D11" s="20" t="s">
        <v>39</v>
      </c>
      <c r="E11" s="20" t="s">
        <v>115</v>
      </c>
      <c r="F11" s="20" t="s">
        <v>116</v>
      </c>
      <c r="G11" s="19">
        <v>46022</v>
      </c>
      <c r="H11" s="19">
        <v>46022</v>
      </c>
      <c r="I11" s="20">
        <v>1</v>
      </c>
      <c r="J11" s="20" t="s">
        <v>68</v>
      </c>
      <c r="K11" s="20" t="s">
        <v>43</v>
      </c>
      <c r="L11" s="19">
        <v>46029</v>
      </c>
      <c r="M11" s="19"/>
      <c r="N11" s="21">
        <v>7</v>
      </c>
      <c r="O11" s="21">
        <v>7</v>
      </c>
      <c r="P11" s="21">
        <v>0</v>
      </c>
      <c r="Q11" s="24">
        <v>46023</v>
      </c>
      <c r="R11" s="73" t="s">
        <v>117</v>
      </c>
      <c r="S11" s="19" t="s">
        <v>118</v>
      </c>
    </row>
    <row r="12" spans="1:19" ht="409.5">
      <c r="A12" s="20">
        <v>17</v>
      </c>
      <c r="B12" s="20" t="s">
        <v>104</v>
      </c>
      <c r="C12" s="20" t="s">
        <v>135</v>
      </c>
      <c r="D12" s="20" t="s">
        <v>99</v>
      </c>
      <c r="E12" s="20" t="s">
        <v>86</v>
      </c>
      <c r="F12" s="20" t="s">
        <v>116</v>
      </c>
      <c r="G12" s="19">
        <v>46043</v>
      </c>
      <c r="H12" s="19">
        <v>46043</v>
      </c>
      <c r="I12" s="20">
        <v>0</v>
      </c>
      <c r="J12" s="20" t="s">
        <v>42</v>
      </c>
      <c r="K12" s="20" t="s">
        <v>43</v>
      </c>
      <c r="L12" s="19">
        <v>46057</v>
      </c>
      <c r="M12" s="19"/>
      <c r="N12" s="21">
        <v>14</v>
      </c>
      <c r="O12" s="21">
        <v>14</v>
      </c>
      <c r="P12" s="21">
        <v>0</v>
      </c>
      <c r="Q12" s="24">
        <v>46054</v>
      </c>
      <c r="R12" s="73" t="s">
        <v>136</v>
      </c>
      <c r="S12" s="19" t="s">
        <v>137</v>
      </c>
    </row>
    <row r="13" spans="1:19" ht="42">
      <c r="A13" s="20">
        <v>18</v>
      </c>
      <c r="B13" s="20" t="s">
        <v>138</v>
      </c>
      <c r="C13" s="20" t="s">
        <v>139</v>
      </c>
      <c r="D13" s="20" t="s">
        <v>121</v>
      </c>
      <c r="E13" s="20" t="s">
        <v>140</v>
      </c>
      <c r="F13" s="20" t="s">
        <v>67</v>
      </c>
      <c r="G13" s="19">
        <v>46044</v>
      </c>
      <c r="H13" s="19">
        <v>46048</v>
      </c>
      <c r="I13" s="20">
        <v>2</v>
      </c>
      <c r="J13" s="20" t="s">
        <v>60</v>
      </c>
      <c r="K13" s="20" t="s">
        <v>43</v>
      </c>
      <c r="L13" s="19">
        <v>46057</v>
      </c>
      <c r="M13" s="19"/>
      <c r="N13" s="21">
        <v>13</v>
      </c>
      <c r="O13" s="21">
        <v>9</v>
      </c>
      <c r="P13" s="21">
        <v>4</v>
      </c>
      <c r="Q13" s="24">
        <v>46054</v>
      </c>
      <c r="R13" s="73" t="s">
        <v>141</v>
      </c>
      <c r="S13" s="19" t="s">
        <v>142</v>
      </c>
    </row>
    <row r="14" spans="1:19" ht="409.5">
      <c r="A14" s="20">
        <v>19</v>
      </c>
      <c r="B14" s="20" t="s">
        <v>55</v>
      </c>
      <c r="C14" s="20" t="s">
        <v>56</v>
      </c>
      <c r="D14" s="20" t="s">
        <v>99</v>
      </c>
      <c r="E14" s="20" t="s">
        <v>143</v>
      </c>
      <c r="F14" s="20" t="s">
        <v>59</v>
      </c>
      <c r="G14" s="19">
        <v>46049</v>
      </c>
      <c r="H14" s="19">
        <v>46049</v>
      </c>
      <c r="I14" s="20">
        <v>0</v>
      </c>
      <c r="J14" s="20" t="s">
        <v>51</v>
      </c>
      <c r="K14" s="20" t="s">
        <v>43</v>
      </c>
      <c r="L14" s="19">
        <v>46050</v>
      </c>
      <c r="M14" s="19"/>
      <c r="N14" s="21">
        <v>1</v>
      </c>
      <c r="O14" s="21">
        <v>1</v>
      </c>
      <c r="P14" s="21">
        <v>0</v>
      </c>
      <c r="Q14" s="24">
        <v>46023</v>
      </c>
      <c r="R14" s="73" t="s">
        <v>144</v>
      </c>
      <c r="S14" s="19" t="s">
        <v>145</v>
      </c>
    </row>
    <row r="15" spans="1:19" ht="409.5">
      <c r="A15" s="20">
        <v>20</v>
      </c>
      <c r="B15" s="20" t="s">
        <v>57</v>
      </c>
      <c r="C15" s="20" t="s">
        <v>146</v>
      </c>
      <c r="D15" s="20" t="s">
        <v>57</v>
      </c>
      <c r="E15" s="20" t="s">
        <v>147</v>
      </c>
      <c r="F15" s="20" t="s">
        <v>59</v>
      </c>
      <c r="G15" s="19">
        <v>46055</v>
      </c>
      <c r="H15" s="19">
        <v>46055</v>
      </c>
      <c r="I15" s="20">
        <v>0</v>
      </c>
      <c r="J15" s="20" t="s">
        <v>68</v>
      </c>
      <c r="K15" s="20" t="s">
        <v>43</v>
      </c>
      <c r="L15" s="19">
        <v>46056</v>
      </c>
      <c r="M15" s="19"/>
      <c r="N15" s="21">
        <v>1</v>
      </c>
      <c r="O15" s="21">
        <v>1</v>
      </c>
      <c r="P15" s="21">
        <v>0</v>
      </c>
      <c r="Q15" s="24">
        <v>46054</v>
      </c>
      <c r="R15" s="73" t="s">
        <v>148</v>
      </c>
      <c r="S15" s="19" t="s">
        <v>149</v>
      </c>
    </row>
    <row r="16" spans="1:19" ht="112">
      <c r="A16" s="20">
        <v>27</v>
      </c>
      <c r="B16" s="20" t="s">
        <v>104</v>
      </c>
      <c r="C16" s="20" t="s">
        <v>182</v>
      </c>
      <c r="D16" s="20" t="s">
        <v>99</v>
      </c>
      <c r="E16" s="20" t="s">
        <v>183</v>
      </c>
      <c r="F16" s="20" t="s">
        <v>184</v>
      </c>
      <c r="G16" s="19">
        <v>46098</v>
      </c>
      <c r="H16" s="19">
        <v>46098</v>
      </c>
      <c r="I16" s="20">
        <v>0</v>
      </c>
      <c r="J16" s="20" t="s">
        <v>42</v>
      </c>
      <c r="K16" s="20" t="s">
        <v>43</v>
      </c>
      <c r="L16" s="19">
        <v>46099</v>
      </c>
      <c r="M16" s="19"/>
      <c r="N16" s="21">
        <v>1</v>
      </c>
      <c r="O16" s="21">
        <v>1</v>
      </c>
      <c r="P16" s="21">
        <v>0</v>
      </c>
      <c r="Q16" s="24">
        <v>46082</v>
      </c>
      <c r="R16" s="73" t="s">
        <v>185</v>
      </c>
      <c r="S16" s="19" t="s">
        <v>186</v>
      </c>
    </row>
    <row r="17" spans="1:19" ht="378">
      <c r="A17" s="20">
        <v>29</v>
      </c>
      <c r="B17" s="20" t="s">
        <v>190</v>
      </c>
      <c r="C17" s="20" t="s">
        <v>191</v>
      </c>
      <c r="D17" s="20" t="s">
        <v>99</v>
      </c>
      <c r="E17" s="20" t="s">
        <v>192</v>
      </c>
      <c r="F17" s="20" t="s">
        <v>59</v>
      </c>
      <c r="G17" s="19">
        <v>46098</v>
      </c>
      <c r="H17" s="19">
        <v>46100</v>
      </c>
      <c r="I17" s="20">
        <v>1</v>
      </c>
      <c r="J17" s="20" t="s">
        <v>42</v>
      </c>
      <c r="K17" s="20" t="s">
        <v>43</v>
      </c>
      <c r="L17" s="19">
        <v>46146</v>
      </c>
      <c r="M17" s="19" t="s">
        <v>52</v>
      </c>
      <c r="N17" s="21">
        <v>48</v>
      </c>
      <c r="O17" s="21">
        <v>46</v>
      </c>
      <c r="P17" s="21">
        <v>2</v>
      </c>
      <c r="Q17" s="24">
        <v>46143</v>
      </c>
      <c r="R17" s="73" t="s">
        <v>193</v>
      </c>
      <c r="S17" s="19" t="s">
        <v>194</v>
      </c>
    </row>
    <row r="18" spans="1:19" ht="409.5">
      <c r="A18" s="20">
        <v>30</v>
      </c>
      <c r="B18" s="20" t="s">
        <v>195</v>
      </c>
      <c r="C18" s="20" t="s">
        <v>196</v>
      </c>
      <c r="D18" s="20" t="s">
        <v>121</v>
      </c>
      <c r="E18" s="20" t="s">
        <v>197</v>
      </c>
      <c r="F18" s="20" t="s">
        <v>67</v>
      </c>
      <c r="G18" s="19">
        <v>46100</v>
      </c>
      <c r="H18" s="19">
        <v>46101</v>
      </c>
      <c r="I18" s="20">
        <v>2</v>
      </c>
      <c r="J18" s="20" t="s">
        <v>60</v>
      </c>
      <c r="K18" s="20" t="s">
        <v>43</v>
      </c>
      <c r="L18" s="19">
        <v>46198</v>
      </c>
      <c r="M18" s="19" t="s">
        <v>52</v>
      </c>
      <c r="N18" s="21">
        <v>98</v>
      </c>
      <c r="O18" s="21">
        <v>97</v>
      </c>
      <c r="P18" s="21">
        <v>1</v>
      </c>
      <c r="Q18" s="24">
        <v>46174</v>
      </c>
      <c r="R18" s="73" t="s">
        <v>198</v>
      </c>
      <c r="S18" s="19" t="s">
        <v>199</v>
      </c>
    </row>
    <row r="19" spans="1:19" ht="210">
      <c r="A19" s="20">
        <v>34</v>
      </c>
      <c r="B19" s="20" t="s">
        <v>104</v>
      </c>
      <c r="C19" s="20" t="s">
        <v>182</v>
      </c>
      <c r="D19" s="20" t="s">
        <v>99</v>
      </c>
      <c r="E19" s="20" t="s">
        <v>212</v>
      </c>
      <c r="F19" s="20" t="s">
        <v>116</v>
      </c>
      <c r="G19" s="19">
        <v>46105</v>
      </c>
      <c r="H19" s="19">
        <v>46105</v>
      </c>
      <c r="I19" s="20">
        <v>0</v>
      </c>
      <c r="J19" s="20" t="s">
        <v>42</v>
      </c>
      <c r="K19" s="20" t="s">
        <v>43</v>
      </c>
      <c r="L19" s="19">
        <v>46107</v>
      </c>
      <c r="M19" s="19"/>
      <c r="N19" s="21">
        <v>2</v>
      </c>
      <c r="O19" s="21">
        <v>2</v>
      </c>
      <c r="P19" s="21">
        <v>0</v>
      </c>
      <c r="Q19" s="24">
        <v>46082</v>
      </c>
      <c r="R19" s="73" t="s">
        <v>213</v>
      </c>
      <c r="S19" s="19" t="s">
        <v>214</v>
      </c>
    </row>
    <row r="20" spans="1:19" ht="409.5">
      <c r="A20" s="20">
        <v>36</v>
      </c>
      <c r="B20" s="20" t="s">
        <v>219</v>
      </c>
      <c r="C20" s="20" t="s">
        <v>220</v>
      </c>
      <c r="D20" s="20" t="s">
        <v>57</v>
      </c>
      <c r="E20" s="20" t="s">
        <v>58</v>
      </c>
      <c r="F20" s="20" t="s">
        <v>59</v>
      </c>
      <c r="G20" s="19">
        <v>46108</v>
      </c>
      <c r="H20" s="19">
        <v>46112</v>
      </c>
      <c r="I20" s="20">
        <v>2</v>
      </c>
      <c r="J20" s="20" t="s">
        <v>60</v>
      </c>
      <c r="K20" s="20" t="s">
        <v>43</v>
      </c>
      <c r="L20" s="19">
        <v>46157</v>
      </c>
      <c r="M20" s="19"/>
      <c r="N20" s="21">
        <v>49</v>
      </c>
      <c r="O20" s="21">
        <v>45</v>
      </c>
      <c r="P20" s="21">
        <v>4</v>
      </c>
      <c r="Q20" s="24">
        <v>46143</v>
      </c>
      <c r="R20" s="73" t="s">
        <v>221</v>
      </c>
      <c r="S20" s="19" t="s">
        <v>222</v>
      </c>
    </row>
    <row r="21" spans="1:19" ht="409.5">
      <c r="A21" s="20">
        <v>37</v>
      </c>
      <c r="B21" s="20" t="s">
        <v>223</v>
      </c>
      <c r="C21" s="20" t="s">
        <v>224</v>
      </c>
      <c r="D21" s="20" t="s">
        <v>57</v>
      </c>
      <c r="E21" s="20" t="s">
        <v>225</v>
      </c>
      <c r="F21" s="20" t="s">
        <v>50</v>
      </c>
      <c r="G21" s="19">
        <v>46111</v>
      </c>
      <c r="H21" s="19">
        <v>46111</v>
      </c>
      <c r="I21" s="20">
        <v>0</v>
      </c>
      <c r="J21" s="20" t="s">
        <v>42</v>
      </c>
      <c r="K21" s="20" t="s">
        <v>43</v>
      </c>
      <c r="L21" s="19">
        <v>46119</v>
      </c>
      <c r="M21" s="19"/>
      <c r="N21" s="21">
        <v>8</v>
      </c>
      <c r="O21" s="21">
        <v>8</v>
      </c>
      <c r="P21" s="21">
        <v>0</v>
      </c>
      <c r="Q21" s="24">
        <v>46113</v>
      </c>
      <c r="R21" s="73" t="s">
        <v>226</v>
      </c>
      <c r="S21" s="19" t="s">
        <v>227</v>
      </c>
    </row>
    <row r="22" spans="1:19" ht="98">
      <c r="A22" s="20">
        <v>39</v>
      </c>
      <c r="B22" s="20" t="s">
        <v>231</v>
      </c>
      <c r="C22" s="20" t="s">
        <v>232</v>
      </c>
      <c r="D22" s="20" t="s">
        <v>121</v>
      </c>
      <c r="E22" s="20" t="s">
        <v>233</v>
      </c>
      <c r="F22" s="20" t="s">
        <v>41</v>
      </c>
      <c r="G22" s="19">
        <v>46126</v>
      </c>
      <c r="H22" s="19">
        <v>46126</v>
      </c>
      <c r="I22" s="20">
        <v>0</v>
      </c>
      <c r="J22" s="20" t="s">
        <v>68</v>
      </c>
      <c r="K22" s="20" t="s">
        <v>43</v>
      </c>
      <c r="L22" s="19">
        <v>46126</v>
      </c>
      <c r="M22" s="19"/>
      <c r="N22" s="21">
        <v>0</v>
      </c>
      <c r="O22" s="21">
        <v>0</v>
      </c>
      <c r="P22" s="21">
        <v>0</v>
      </c>
      <c r="Q22" s="24">
        <v>46113</v>
      </c>
      <c r="R22" s="73" t="s">
        <v>234</v>
      </c>
      <c r="S22" s="19" t="s">
        <v>235</v>
      </c>
    </row>
    <row r="23" spans="1:19" ht="409.5">
      <c r="A23" s="20">
        <v>40</v>
      </c>
      <c r="B23" s="20" t="s">
        <v>236</v>
      </c>
      <c r="C23" s="20" t="s">
        <v>237</v>
      </c>
      <c r="D23" s="20" t="s">
        <v>99</v>
      </c>
      <c r="E23" s="20" t="s">
        <v>238</v>
      </c>
      <c r="F23" s="20" t="s">
        <v>41</v>
      </c>
      <c r="G23" s="19">
        <v>46127</v>
      </c>
      <c r="H23" s="19">
        <v>46127</v>
      </c>
      <c r="I23" s="20">
        <v>2</v>
      </c>
      <c r="J23" s="20" t="s">
        <v>60</v>
      </c>
      <c r="K23" s="20" t="s">
        <v>43</v>
      </c>
      <c r="L23" s="19">
        <v>46206</v>
      </c>
      <c r="M23" s="19"/>
      <c r="N23" s="21">
        <v>79</v>
      </c>
      <c r="O23" s="21">
        <v>79</v>
      </c>
      <c r="P23" s="21">
        <v>0</v>
      </c>
      <c r="Q23" s="21"/>
      <c r="R23" s="73" t="s">
        <v>239</v>
      </c>
      <c r="S23" s="78" t="s">
        <v>240</v>
      </c>
    </row>
    <row r="24" spans="1:19" ht="409.5">
      <c r="A24" s="20">
        <v>42</v>
      </c>
      <c r="B24" s="20" t="s">
        <v>245</v>
      </c>
      <c r="C24" s="20" t="s">
        <v>246</v>
      </c>
      <c r="D24" s="20" t="s">
        <v>65</v>
      </c>
      <c r="E24" s="20" t="s">
        <v>73</v>
      </c>
      <c r="F24" s="20" t="s">
        <v>50</v>
      </c>
      <c r="G24" s="19">
        <v>46132</v>
      </c>
      <c r="H24" s="19">
        <v>46136</v>
      </c>
      <c r="I24" s="20">
        <v>0</v>
      </c>
      <c r="J24" s="20" t="s">
        <v>42</v>
      </c>
      <c r="K24" s="20" t="s">
        <v>43</v>
      </c>
      <c r="L24" s="19">
        <v>46170</v>
      </c>
      <c r="M24" s="19"/>
      <c r="N24" s="21">
        <v>38</v>
      </c>
      <c r="O24" s="21">
        <v>34</v>
      </c>
      <c r="P24" s="21">
        <v>4</v>
      </c>
      <c r="Q24" s="24">
        <v>46143</v>
      </c>
      <c r="R24" s="73" t="s">
        <v>247</v>
      </c>
      <c r="S24" s="78" t="s">
        <v>248</v>
      </c>
    </row>
    <row r="25" spans="1:19" ht="266">
      <c r="A25" s="20">
        <v>43</v>
      </c>
      <c r="B25" s="20" t="s">
        <v>249</v>
      </c>
      <c r="C25" s="20" t="s">
        <v>250</v>
      </c>
      <c r="D25" s="20" t="s">
        <v>65</v>
      </c>
      <c r="E25" s="20" t="s">
        <v>251</v>
      </c>
      <c r="F25" s="20" t="s">
        <v>50</v>
      </c>
      <c r="G25" s="19">
        <v>46132</v>
      </c>
      <c r="H25" s="19">
        <v>46135</v>
      </c>
      <c r="I25" s="20">
        <v>0</v>
      </c>
      <c r="J25" s="20" t="s">
        <v>42</v>
      </c>
      <c r="K25" s="20" t="s">
        <v>43</v>
      </c>
      <c r="L25" s="19">
        <v>46157</v>
      </c>
      <c r="M25" s="19"/>
      <c r="N25" s="21">
        <v>25</v>
      </c>
      <c r="O25" s="21">
        <v>22</v>
      </c>
      <c r="P25" s="21">
        <v>3</v>
      </c>
      <c r="Q25" s="24">
        <v>46143</v>
      </c>
      <c r="R25" s="73" t="s">
        <v>252</v>
      </c>
      <c r="S25" s="78" t="s">
        <v>253</v>
      </c>
    </row>
    <row r="26" spans="1:19" ht="409.5">
      <c r="A26" s="20">
        <v>44</v>
      </c>
      <c r="B26" s="20" t="s">
        <v>55</v>
      </c>
      <c r="C26" s="20" t="s">
        <v>56</v>
      </c>
      <c r="D26" s="20" t="s">
        <v>39</v>
      </c>
      <c r="E26" s="20" t="s">
        <v>58</v>
      </c>
      <c r="F26" s="20" t="s">
        <v>59</v>
      </c>
      <c r="G26" s="19">
        <v>46137</v>
      </c>
      <c r="H26" s="19">
        <v>46137</v>
      </c>
      <c r="I26" s="20">
        <v>2</v>
      </c>
      <c r="J26" s="20" t="s">
        <v>60</v>
      </c>
      <c r="K26" s="20" t="s">
        <v>43</v>
      </c>
      <c r="L26" s="19">
        <v>46162</v>
      </c>
      <c r="M26" s="19" t="s">
        <v>52</v>
      </c>
      <c r="N26" s="21">
        <v>25</v>
      </c>
      <c r="O26" s="21">
        <v>25</v>
      </c>
      <c r="P26" s="21">
        <v>0</v>
      </c>
      <c r="Q26" s="24">
        <v>46143</v>
      </c>
      <c r="R26" s="73" t="s">
        <v>254</v>
      </c>
      <c r="S26" s="78" t="s">
        <v>255</v>
      </c>
    </row>
    <row r="27" spans="1:19" ht="409.5">
      <c r="A27" s="20">
        <v>45</v>
      </c>
      <c r="B27" s="20" t="s">
        <v>256</v>
      </c>
      <c r="C27" s="20" t="s">
        <v>257</v>
      </c>
      <c r="D27" s="20" t="s">
        <v>99</v>
      </c>
      <c r="E27" s="20" t="s">
        <v>86</v>
      </c>
      <c r="F27" s="20" t="s">
        <v>50</v>
      </c>
      <c r="G27" s="19">
        <v>46133</v>
      </c>
      <c r="H27" s="19">
        <v>46133</v>
      </c>
      <c r="I27" s="20">
        <v>0</v>
      </c>
      <c r="J27" s="20" t="s">
        <v>42</v>
      </c>
      <c r="K27" s="20" t="s">
        <v>43</v>
      </c>
      <c r="L27" s="19">
        <v>46141</v>
      </c>
      <c r="M27" s="19"/>
      <c r="N27" s="21">
        <v>8</v>
      </c>
      <c r="O27" s="21">
        <v>8</v>
      </c>
      <c r="P27" s="21">
        <v>0</v>
      </c>
      <c r="Q27" s="24">
        <v>46113</v>
      </c>
      <c r="R27" s="73" t="s">
        <v>258</v>
      </c>
      <c r="S27" s="78" t="s">
        <v>259</v>
      </c>
    </row>
    <row r="28" spans="1:19" ht="387.5">
      <c r="A28" s="20">
        <v>46</v>
      </c>
      <c r="B28" s="20" t="s">
        <v>260</v>
      </c>
      <c r="C28" s="20" t="s">
        <v>261</v>
      </c>
      <c r="D28" s="20" t="s">
        <v>48</v>
      </c>
      <c r="E28" s="20" t="s">
        <v>262</v>
      </c>
      <c r="F28" s="20" t="s">
        <v>263</v>
      </c>
      <c r="G28" s="19">
        <v>46155</v>
      </c>
      <c r="H28" s="19">
        <v>46155</v>
      </c>
      <c r="I28" s="20">
        <v>1</v>
      </c>
      <c r="J28" s="20" t="s">
        <v>68</v>
      </c>
      <c r="K28" s="20" t="s">
        <v>43</v>
      </c>
      <c r="L28" s="19">
        <v>46183</v>
      </c>
      <c r="M28" s="19"/>
      <c r="N28" s="21">
        <v>28</v>
      </c>
      <c r="O28" s="21">
        <v>28</v>
      </c>
      <c r="P28" s="21">
        <v>0</v>
      </c>
      <c r="Q28" s="24">
        <v>46174</v>
      </c>
      <c r="R28" s="73" t="s">
        <v>264</v>
      </c>
      <c r="S28" s="78" t="s">
        <v>265</v>
      </c>
    </row>
    <row r="29" spans="1:19" ht="266">
      <c r="A29" s="20">
        <v>47</v>
      </c>
      <c r="B29" s="20" t="s">
        <v>266</v>
      </c>
      <c r="C29" s="20" t="s">
        <v>151</v>
      </c>
      <c r="D29" s="20" t="s">
        <v>79</v>
      </c>
      <c r="E29" s="20" t="s">
        <v>202</v>
      </c>
      <c r="F29" s="20" t="s">
        <v>59</v>
      </c>
      <c r="G29" s="19">
        <v>46155</v>
      </c>
      <c r="H29" s="19">
        <v>46155</v>
      </c>
      <c r="I29" s="20">
        <v>0</v>
      </c>
      <c r="J29" s="20" t="s">
        <v>42</v>
      </c>
      <c r="K29" s="20" t="s">
        <v>43</v>
      </c>
      <c r="L29" s="19">
        <v>46160</v>
      </c>
      <c r="M29" s="19"/>
      <c r="N29" s="21">
        <v>5</v>
      </c>
      <c r="O29" s="21">
        <v>5</v>
      </c>
      <c r="P29" s="21">
        <v>0</v>
      </c>
      <c r="Q29" s="24">
        <v>46143</v>
      </c>
      <c r="R29" s="73" t="s">
        <v>267</v>
      </c>
      <c r="S29" s="19" t="s">
        <v>268</v>
      </c>
    </row>
    <row r="30" spans="1:19" ht="182">
      <c r="A30" s="20">
        <v>48</v>
      </c>
      <c r="B30" s="20" t="s">
        <v>269</v>
      </c>
      <c r="C30" s="20" t="s">
        <v>270</v>
      </c>
      <c r="D30" s="20" t="s">
        <v>57</v>
      </c>
      <c r="E30" s="20" t="s">
        <v>271</v>
      </c>
      <c r="F30" s="20" t="s">
        <v>167</v>
      </c>
      <c r="G30" s="19">
        <v>46156</v>
      </c>
      <c r="H30" s="19">
        <v>46157</v>
      </c>
      <c r="I30" s="20">
        <v>0</v>
      </c>
      <c r="J30" s="20" t="s">
        <v>42</v>
      </c>
      <c r="K30" s="20" t="s">
        <v>43</v>
      </c>
      <c r="L30" s="19">
        <v>46160</v>
      </c>
      <c r="M30" s="19" t="s">
        <v>52</v>
      </c>
      <c r="N30" s="21">
        <v>4</v>
      </c>
      <c r="O30" s="21">
        <v>3</v>
      </c>
      <c r="P30" s="21">
        <v>1</v>
      </c>
      <c r="Q30" s="24">
        <v>46143</v>
      </c>
      <c r="R30" s="73" t="s">
        <v>272</v>
      </c>
      <c r="S30" s="19" t="s">
        <v>273</v>
      </c>
    </row>
    <row r="31" spans="1:19" ht="266">
      <c r="A31" s="20">
        <v>49</v>
      </c>
      <c r="B31" s="20" t="s">
        <v>158</v>
      </c>
      <c r="C31" s="25" t="s">
        <v>159</v>
      </c>
      <c r="D31" s="20" t="s">
        <v>99</v>
      </c>
      <c r="E31" s="20" t="s">
        <v>274</v>
      </c>
      <c r="F31" s="20" t="s">
        <v>59</v>
      </c>
      <c r="G31" s="19">
        <v>46150</v>
      </c>
      <c r="H31" s="19">
        <v>46150</v>
      </c>
      <c r="I31" s="20">
        <v>0</v>
      </c>
      <c r="J31" s="20" t="s">
        <v>68</v>
      </c>
      <c r="K31" s="20" t="s">
        <v>43</v>
      </c>
      <c r="L31" s="19">
        <v>46171</v>
      </c>
      <c r="M31" s="19" t="s">
        <v>52</v>
      </c>
      <c r="N31" s="21">
        <v>21</v>
      </c>
      <c r="O31" s="21">
        <v>21</v>
      </c>
      <c r="P31" s="21">
        <v>0</v>
      </c>
      <c r="Q31" s="24">
        <v>46143</v>
      </c>
      <c r="R31" s="73" t="s">
        <v>275</v>
      </c>
      <c r="S31" s="31" t="s">
        <v>276</v>
      </c>
    </row>
    <row r="32" spans="1:19" ht="252">
      <c r="A32" s="20">
        <v>51</v>
      </c>
      <c r="B32" s="20" t="s">
        <v>282</v>
      </c>
      <c r="C32" s="20" t="s">
        <v>283</v>
      </c>
      <c r="D32" s="20" t="s">
        <v>121</v>
      </c>
      <c r="E32" s="20" t="s">
        <v>284</v>
      </c>
      <c r="F32" s="20" t="s">
        <v>188</v>
      </c>
      <c r="G32" s="19">
        <v>46163</v>
      </c>
      <c r="H32" s="19">
        <v>46164</v>
      </c>
      <c r="I32" s="20">
        <v>0</v>
      </c>
      <c r="J32" s="20" t="s">
        <v>42</v>
      </c>
      <c r="K32" s="20" t="s">
        <v>43</v>
      </c>
      <c r="L32" s="19">
        <v>46183</v>
      </c>
      <c r="M32" s="19"/>
      <c r="N32" s="21">
        <v>20</v>
      </c>
      <c r="O32" s="21">
        <v>19</v>
      </c>
      <c r="P32" s="21">
        <v>1</v>
      </c>
      <c r="Q32" s="24">
        <v>46174</v>
      </c>
      <c r="R32" s="73" t="s">
        <v>285</v>
      </c>
      <c r="S32" s="19" t="s">
        <v>286</v>
      </c>
    </row>
    <row r="33" spans="1:19" ht="409.5">
      <c r="A33" s="20">
        <v>52</v>
      </c>
      <c r="B33" s="20" t="s">
        <v>256</v>
      </c>
      <c r="C33" s="20" t="s">
        <v>257</v>
      </c>
      <c r="D33" s="20" t="s">
        <v>39</v>
      </c>
      <c r="E33" s="20" t="s">
        <v>86</v>
      </c>
      <c r="F33" s="20" t="s">
        <v>50</v>
      </c>
      <c r="G33" s="19">
        <v>46168</v>
      </c>
      <c r="H33" s="19">
        <v>46168</v>
      </c>
      <c r="I33" s="20">
        <v>0</v>
      </c>
      <c r="J33" s="20" t="s">
        <v>68</v>
      </c>
      <c r="K33" s="20" t="s">
        <v>43</v>
      </c>
      <c r="L33" s="19">
        <v>46208</v>
      </c>
      <c r="M33" s="19"/>
      <c r="N33" s="21">
        <v>40</v>
      </c>
      <c r="O33" s="21">
        <v>40</v>
      </c>
      <c r="P33" s="21">
        <v>0</v>
      </c>
      <c r="Q33" s="21"/>
      <c r="R33" s="73" t="s">
        <v>287</v>
      </c>
      <c r="S33" s="19" t="s">
        <v>288</v>
      </c>
    </row>
    <row r="34" spans="1:19" ht="409.5">
      <c r="A34" s="20">
        <v>54</v>
      </c>
      <c r="B34" s="20" t="s">
        <v>291</v>
      </c>
      <c r="C34" s="20" t="s">
        <v>292</v>
      </c>
      <c r="D34" s="20" t="s">
        <v>99</v>
      </c>
      <c r="E34" s="20" t="s">
        <v>86</v>
      </c>
      <c r="F34" s="20" t="s">
        <v>59</v>
      </c>
      <c r="G34" s="19">
        <v>46168</v>
      </c>
      <c r="H34" s="19">
        <v>46171</v>
      </c>
      <c r="I34" s="20">
        <v>0</v>
      </c>
      <c r="J34" s="20" t="s">
        <v>42</v>
      </c>
      <c r="K34" s="20" t="s">
        <v>43</v>
      </c>
      <c r="L34" s="19">
        <v>46188</v>
      </c>
      <c r="M34" s="19"/>
      <c r="N34" s="21">
        <v>20</v>
      </c>
      <c r="O34" s="21">
        <v>17</v>
      </c>
      <c r="P34" s="21">
        <v>3</v>
      </c>
      <c r="Q34" s="24">
        <v>46174</v>
      </c>
      <c r="R34" s="73" t="s">
        <v>293</v>
      </c>
      <c r="S34" s="19" t="s">
        <v>294</v>
      </c>
    </row>
    <row r="35" spans="1:19" ht="266">
      <c r="A35" s="20">
        <v>58</v>
      </c>
      <c r="B35" s="20" t="s">
        <v>104</v>
      </c>
      <c r="C35" s="20" t="s">
        <v>135</v>
      </c>
      <c r="D35" s="20" t="s">
        <v>39</v>
      </c>
      <c r="E35" s="20" t="s">
        <v>49</v>
      </c>
      <c r="F35" s="20" t="s">
        <v>50</v>
      </c>
      <c r="G35" s="19">
        <v>46188</v>
      </c>
      <c r="H35" s="19">
        <v>46188</v>
      </c>
      <c r="I35" s="20">
        <v>0</v>
      </c>
      <c r="J35" s="20" t="s">
        <v>42</v>
      </c>
      <c r="K35" s="20" t="s">
        <v>43</v>
      </c>
      <c r="L35" s="19">
        <v>46189</v>
      </c>
      <c r="M35" s="19"/>
      <c r="N35" s="21">
        <v>1</v>
      </c>
      <c r="O35" s="21">
        <v>1</v>
      </c>
      <c r="P35" s="21">
        <v>0</v>
      </c>
      <c r="Q35" s="24">
        <v>46174</v>
      </c>
      <c r="R35" s="73" t="s">
        <v>309</v>
      </c>
      <c r="S35" s="19" t="s">
        <v>310</v>
      </c>
    </row>
    <row r="36" spans="1:19" ht="322">
      <c r="A36" s="20">
        <v>59</v>
      </c>
      <c r="B36" s="20" t="s">
        <v>104</v>
      </c>
      <c r="C36" s="20" t="s">
        <v>135</v>
      </c>
      <c r="D36" s="20" t="s">
        <v>39</v>
      </c>
      <c r="E36" s="20" t="s">
        <v>49</v>
      </c>
      <c r="F36" s="20" t="s">
        <v>50</v>
      </c>
      <c r="G36" s="19">
        <v>46189</v>
      </c>
      <c r="H36" s="19">
        <v>46189</v>
      </c>
      <c r="I36" s="20">
        <v>0</v>
      </c>
      <c r="J36" s="20" t="s">
        <v>42</v>
      </c>
      <c r="K36" s="20" t="s">
        <v>43</v>
      </c>
      <c r="L36" s="19">
        <v>46213</v>
      </c>
      <c r="M36" s="19"/>
      <c r="N36" s="21">
        <v>24</v>
      </c>
      <c r="O36" s="21">
        <v>24</v>
      </c>
      <c r="P36" s="21">
        <v>0</v>
      </c>
      <c r="Q36" s="21"/>
      <c r="R36" s="73" t="s">
        <v>311</v>
      </c>
      <c r="S36" s="19" t="s">
        <v>312</v>
      </c>
    </row>
    <row r="37" spans="1:19" ht="406">
      <c r="A37" s="20">
        <v>60</v>
      </c>
      <c r="B37" s="20" t="s">
        <v>291</v>
      </c>
      <c r="C37" s="20" t="s">
        <v>292</v>
      </c>
      <c r="D37" s="20" t="s">
        <v>39</v>
      </c>
      <c r="E37" s="20" t="s">
        <v>313</v>
      </c>
      <c r="F37" s="20" t="s">
        <v>59</v>
      </c>
      <c r="G37" s="19">
        <v>46189</v>
      </c>
      <c r="H37" s="19">
        <v>46190</v>
      </c>
      <c r="I37" s="20">
        <v>0</v>
      </c>
      <c r="J37" s="20" t="s">
        <v>314</v>
      </c>
      <c r="K37" s="20" t="s">
        <v>43</v>
      </c>
      <c r="L37" s="19">
        <v>46223</v>
      </c>
      <c r="M37" s="19"/>
      <c r="N37" s="21">
        <v>34</v>
      </c>
      <c r="O37" s="21">
        <v>33</v>
      </c>
      <c r="P37" s="21">
        <v>1</v>
      </c>
      <c r="Q37" s="21"/>
      <c r="R37" s="73" t="s">
        <v>315</v>
      </c>
      <c r="S37" s="19" t="s">
        <v>316</v>
      </c>
    </row>
    <row r="38" spans="1:19" ht="218.15" customHeight="1">
      <c r="A38" s="20">
        <v>61</v>
      </c>
      <c r="B38" s="20" t="s">
        <v>317</v>
      </c>
      <c r="C38" s="20" t="s">
        <v>318</v>
      </c>
      <c r="D38" s="20" t="s">
        <v>152</v>
      </c>
      <c r="E38" s="20" t="s">
        <v>319</v>
      </c>
      <c r="F38" s="20" t="s">
        <v>154</v>
      </c>
      <c r="G38" s="19">
        <v>46183</v>
      </c>
      <c r="H38" s="19">
        <v>46190</v>
      </c>
      <c r="I38" s="20">
        <v>0</v>
      </c>
      <c r="J38" s="20" t="s">
        <v>320</v>
      </c>
      <c r="K38" s="20" t="s">
        <v>43</v>
      </c>
      <c r="L38" s="19">
        <v>46224</v>
      </c>
      <c r="M38" s="19"/>
      <c r="N38" s="21">
        <v>41</v>
      </c>
      <c r="O38" s="21">
        <v>34</v>
      </c>
      <c r="P38" s="21">
        <v>7</v>
      </c>
      <c r="Q38" s="21"/>
      <c r="R38" s="73" t="s">
        <v>321</v>
      </c>
      <c r="S38" s="19" t="s">
        <v>322</v>
      </c>
    </row>
    <row r="39" spans="1:19" ht="409.5">
      <c r="A39" s="20">
        <v>62</v>
      </c>
      <c r="B39" s="20" t="s">
        <v>323</v>
      </c>
      <c r="C39" s="20" t="s">
        <v>324</v>
      </c>
      <c r="D39" s="20" t="s">
        <v>65</v>
      </c>
      <c r="E39" s="20" t="s">
        <v>325</v>
      </c>
      <c r="F39" s="20" t="s">
        <v>67</v>
      </c>
      <c r="G39" s="19">
        <v>46189</v>
      </c>
      <c r="H39" s="19">
        <v>46192</v>
      </c>
      <c r="I39" s="20">
        <v>0</v>
      </c>
      <c r="J39" s="20" t="s">
        <v>68</v>
      </c>
      <c r="K39" s="20" t="s">
        <v>43</v>
      </c>
      <c r="L39" s="19">
        <v>46213</v>
      </c>
      <c r="M39" s="19"/>
      <c r="N39" s="21">
        <v>24</v>
      </c>
      <c r="O39" s="21">
        <v>21</v>
      </c>
      <c r="P39" s="21">
        <v>3</v>
      </c>
      <c r="Q39" s="21"/>
      <c r="R39" s="73" t="s">
        <v>326</v>
      </c>
      <c r="S39" s="19" t="s">
        <v>327</v>
      </c>
    </row>
    <row r="40" spans="1:19" ht="84">
      <c r="A40" s="20">
        <v>65</v>
      </c>
      <c r="B40" s="20" t="s">
        <v>338</v>
      </c>
      <c r="C40" s="20" t="s">
        <v>339</v>
      </c>
      <c r="D40" s="20" t="s">
        <v>121</v>
      </c>
      <c r="E40" s="20" t="s">
        <v>340</v>
      </c>
      <c r="F40" s="20" t="s">
        <v>67</v>
      </c>
      <c r="G40" s="19">
        <v>46203</v>
      </c>
      <c r="H40" s="19">
        <v>46206</v>
      </c>
      <c r="I40" s="20">
        <v>0</v>
      </c>
      <c r="J40" s="20" t="s">
        <v>96</v>
      </c>
      <c r="K40" s="20" t="s">
        <v>43</v>
      </c>
      <c r="L40" s="19">
        <v>46211</v>
      </c>
      <c r="M40" s="19"/>
      <c r="N40" s="21">
        <v>8</v>
      </c>
      <c r="O40" s="21">
        <v>5</v>
      </c>
      <c r="P40" s="21">
        <v>3</v>
      </c>
      <c r="Q40" s="21"/>
      <c r="R40" s="73" t="s">
        <v>341</v>
      </c>
      <c r="S40" s="19" t="s">
        <v>342</v>
      </c>
    </row>
    <row r="41" spans="1:19" ht="182">
      <c r="A41" s="20">
        <v>67</v>
      </c>
      <c r="B41" s="20" t="s">
        <v>346</v>
      </c>
      <c r="C41" s="20" t="s">
        <v>347</v>
      </c>
      <c r="D41" s="20" t="s">
        <v>121</v>
      </c>
      <c r="E41" s="20" t="s">
        <v>348</v>
      </c>
      <c r="F41" s="20" t="s">
        <v>101</v>
      </c>
      <c r="G41" s="19">
        <v>46211</v>
      </c>
      <c r="H41" s="19">
        <v>46212</v>
      </c>
      <c r="I41" s="20">
        <v>1</v>
      </c>
      <c r="J41" s="20" t="s">
        <v>42</v>
      </c>
      <c r="K41" s="20" t="s">
        <v>43</v>
      </c>
      <c r="L41" s="19">
        <v>46220</v>
      </c>
      <c r="M41" s="19"/>
      <c r="N41" s="21">
        <v>9</v>
      </c>
      <c r="O41" s="21">
        <v>8</v>
      </c>
      <c r="P41" s="21">
        <v>1</v>
      </c>
      <c r="Q41" s="21"/>
      <c r="R41" s="73" t="s">
        <v>349</v>
      </c>
      <c r="S41" s="19" t="s">
        <v>350</v>
      </c>
    </row>
  </sheetData>
  <dataValidations count="5">
    <dataValidation type="list" allowBlank="1" showInputMessage="1" showErrorMessage="1" sqref="F2:F41">
      <formula1>Category</formula1>
    </dataValidation>
    <dataValidation type="list" allowBlank="1" showInputMessage="1" showErrorMessage="1" sqref="I2:I41">
      <formula1>Group</formula1>
    </dataValidation>
    <dataValidation type="list" allowBlank="1" showInputMessage="1" showErrorMessage="1" sqref="K2:K41">
      <formula1>Status</formula1>
    </dataValidation>
    <dataValidation type="list" allowBlank="1" showInputMessage="1" showErrorMessage="1" sqref="D2:D41">
      <formula1>Channel</formula1>
    </dataValidation>
    <dataValidation type="list" allowBlank="1" showInputMessage="1" showErrorMessage="1" sqref="J2:J41">
      <formula1>Assignee</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556C43E3-6E9B-40A2-939B-47EA29540318}">
            <xm:f>NOT(ISERROR(SEARCH(List!$E$15,K1)))</xm:f>
            <xm:f>List!$E$15</xm:f>
            <x14:dxf>
              <font>
                <strike val="0"/>
                <color auto="1"/>
              </font>
              <fill>
                <patternFill>
                  <bgColor theme="6" tint="0.79998168889431442"/>
                </patternFill>
              </fill>
            </x14:dxf>
          </x14:cfRule>
          <x14:cfRule type="containsText" priority="2" operator="containsText" id="{3CB7FE65-86AF-4170-B94A-7FD353E72801}">
            <xm:f>NOT(ISERROR(SEARCH(List!$E$2,K1)))</xm:f>
            <xm:f>List!$E$2</xm:f>
            <x14:dxf>
              <font>
                <strike val="0"/>
                <color auto="1"/>
              </font>
              <fill>
                <patternFill>
                  <bgColor theme="3" tint="0.89996032593768116"/>
                </patternFill>
              </fill>
            </x14:dxf>
          </x14:cfRule>
          <x14:cfRule type="containsText" priority="3" operator="containsText" id="{78032873-1250-4F48-81E1-F1A2E2D10BB6}">
            <xm:f>NOT(ISERROR(SEARCH(List!$E$3,K1)))</xm:f>
            <xm:f>List!$E$3</xm:f>
            <x14:dxf>
              <font>
                <strike val="0"/>
                <color auto="1"/>
              </font>
              <fill>
                <patternFill>
                  <bgColor theme="3" tint="0.89996032593768116"/>
                </patternFill>
              </fill>
            </x14:dxf>
          </x14:cfRule>
          <x14:cfRule type="containsText" priority="4" operator="containsText" id="{FF5339C1-39CA-4803-BC40-F894E01E99DB}">
            <xm:f>NOT(ISERROR(SEARCH(List!$E$4,K1)))</xm:f>
            <xm:f>List!$E$4</xm:f>
            <x14:dxf>
              <font>
                <strike val="0"/>
                <color auto="1"/>
              </font>
              <fill>
                <patternFill>
                  <bgColor theme="3" tint="0.89996032593768116"/>
                </patternFill>
              </fill>
            </x14:dxf>
          </x14:cfRule>
          <x14:cfRule type="containsText" priority="5" operator="containsText" id="{6966428F-CD3F-48B9-9D88-565698E5D7E7}">
            <xm:f>NOT(ISERROR(SEARCH(List!$E$5,K1)))</xm:f>
            <xm:f>List!$E$5</xm:f>
            <x14:dxf>
              <font>
                <strike val="0"/>
                <color auto="1"/>
              </font>
              <fill>
                <patternFill>
                  <bgColor theme="5" tint="0.79998168889431442"/>
                </patternFill>
              </fill>
            </x14:dxf>
          </x14:cfRule>
          <x14:cfRule type="containsText" priority="6" operator="containsText" id="{B1C1EBC2-2304-400C-B556-66EFDD2F5D33}">
            <xm:f>NOT(ISERROR(SEARCH(List!$E$6,K1)))</xm:f>
            <xm:f>List!$E$6</xm:f>
            <x14:dxf>
              <font>
                <strike val="0"/>
                <color auto="1"/>
              </font>
              <fill>
                <patternFill>
                  <bgColor theme="5" tint="0.79998168889431442"/>
                </patternFill>
              </fill>
            </x14:dxf>
          </x14:cfRule>
          <x14:cfRule type="containsText" priority="7" operator="containsText" id="{D1D8E27D-A7A8-49B8-BB02-C670309F5C6B}">
            <xm:f>NOT(ISERROR(SEARCH(List!$E$7,K1)))</xm:f>
            <xm:f>List!$E$7</xm:f>
            <x14:dxf>
              <font>
                <strike val="0"/>
                <color auto="1"/>
              </font>
              <fill>
                <patternFill>
                  <bgColor theme="5" tint="0.79998168889431442"/>
                </patternFill>
              </fill>
            </x14:dxf>
          </x14:cfRule>
          <x14:cfRule type="containsText" priority="8" operator="containsText" id="{14E7F547-12D3-4059-BD74-3027D282F7DB}">
            <xm:f>NOT(ISERROR(SEARCH(List!$E$8,K1)))</xm:f>
            <xm:f>List!$E$8</xm:f>
            <x14:dxf>
              <font>
                <strike val="0"/>
                <color auto="1"/>
              </font>
              <fill>
                <patternFill>
                  <bgColor theme="5" tint="0.79998168889431442"/>
                </patternFill>
              </fill>
            </x14:dxf>
          </x14:cfRule>
          <x14:cfRule type="containsText" priority="9" operator="containsText" id="{FAEA6687-D5E4-40F8-B083-CE890D6342A2}">
            <xm:f>NOT(ISERROR(SEARCH(List!$E$9,K1)))</xm:f>
            <xm:f>List!$E$9</xm:f>
            <x14:dxf>
              <font>
                <strike val="0"/>
                <color auto="1"/>
              </font>
              <fill>
                <patternFill>
                  <bgColor theme="5" tint="0.79998168889431442"/>
                </patternFill>
              </fill>
            </x14:dxf>
          </x14:cfRule>
          <x14:cfRule type="containsText" priority="10" operator="containsText" id="{2E68BB15-77CD-42D9-87B9-BA6169FF92BC}">
            <xm:f>NOT(ISERROR(SEARCH(List!$E$10,K1)))</xm:f>
            <xm:f>List!$E$10</xm:f>
            <x14:dxf>
              <font>
                <strike val="0"/>
                <color auto="1"/>
              </font>
              <fill>
                <patternFill>
                  <bgColor theme="6" tint="0.79998168889431442"/>
                </patternFill>
              </fill>
            </x14:dxf>
          </x14:cfRule>
          <x14:cfRule type="containsText" priority="11" operator="containsText" id="{115F4E91-4524-4119-8C3C-73E7F4567D6C}">
            <xm:f>NOT(ISERROR(SEARCH(List!$E$11,K1)))</xm:f>
            <xm:f>List!$E$11</xm:f>
            <x14:dxf>
              <font>
                <strike val="0"/>
                <color auto="1"/>
              </font>
              <fill>
                <patternFill>
                  <bgColor theme="6" tint="0.79998168889431442"/>
                </patternFill>
              </fill>
            </x14:dxf>
          </x14:cfRule>
          <x14:cfRule type="containsText" priority="12" operator="containsText" id="{94FFEBDD-0648-402C-B954-40ECA7C8FCC0}">
            <xm:f>NOT(ISERROR(SEARCH(List!$E$12,K1)))</xm:f>
            <xm:f>List!$E$12</xm:f>
            <x14:dxf>
              <font>
                <strike val="0"/>
                <color auto="1"/>
              </font>
              <fill>
                <patternFill>
                  <bgColor theme="6" tint="0.79998168889431442"/>
                </patternFill>
              </fill>
            </x14:dxf>
          </x14:cfRule>
          <x14:cfRule type="containsText" priority="13" operator="containsText" id="{521C80B8-F9EC-439C-9678-80C90EAEF9A8}">
            <xm:f>NOT(ISERROR(SEARCH(List!$E$13,K1)))</xm:f>
            <xm:f>List!$E$13</xm:f>
            <x14:dxf>
              <font>
                <strike val="0"/>
                <color auto="1"/>
              </font>
              <fill>
                <patternFill>
                  <bgColor theme="6" tint="0.79998168889431442"/>
                </patternFill>
              </fill>
            </x14:dxf>
          </x14:cfRule>
          <x14:cfRule type="containsText" priority="14" operator="containsText" id="{BBB15AD2-DD9D-4B70-899A-504D982BE4F2}">
            <xm:f>NOT(ISERROR(SEARCH(List!$E$14,K1)))</xm:f>
            <xm:f>List!$E$14</xm:f>
            <x14:dxf>
              <font>
                <strike val="0"/>
                <color auto="1"/>
              </font>
              <fill>
                <patternFill>
                  <bgColor theme="6" tint="0.79998168889431442"/>
                </patternFill>
              </fill>
            </x14:dxf>
          </x14:cfRule>
          <xm:sqref>K1:K1048514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workbookViewId="0">
      <selection activeCell="E10" sqref="E10:F10"/>
    </sheetView>
  </sheetViews>
  <sheetFormatPr defaultRowHeight="14.5" customHeight="1"/>
  <cols>
    <col min="1" max="1" width="8.4140625" bestFit="1" customWidth="1"/>
    <col min="2" max="2" width="49.83203125" bestFit="1" customWidth="1"/>
    <col min="4" max="4" width="8.4140625" bestFit="1" customWidth="1"/>
    <col min="5" max="5" width="22.4140625" bestFit="1" customWidth="1"/>
    <col min="6" max="6" width="53.4140625" bestFit="1" customWidth="1"/>
    <col min="8" max="8" width="8.4140625" bestFit="1" customWidth="1"/>
    <col min="9" max="9" width="13.1640625" bestFit="1" customWidth="1"/>
    <col min="11" max="11" width="8.4140625" bestFit="1" customWidth="1"/>
    <col min="12" max="12" width="34.25" customWidth="1"/>
    <col min="14" max="14" width="10.83203125" bestFit="1" customWidth="1"/>
    <col min="15" max="15" width="29.4140625" customWidth="1"/>
  </cols>
  <sheetData>
    <row r="1" spans="1:15" ht="14.5" customHeight="1">
      <c r="A1" s="11" t="s">
        <v>386</v>
      </c>
      <c r="B1" s="12" t="s">
        <v>387</v>
      </c>
      <c r="D1" s="11" t="s">
        <v>386</v>
      </c>
      <c r="E1" s="15" t="s">
        <v>10</v>
      </c>
      <c r="F1" s="12" t="s">
        <v>388</v>
      </c>
      <c r="H1" s="11" t="s">
        <v>386</v>
      </c>
      <c r="I1" s="12" t="s">
        <v>389</v>
      </c>
      <c r="K1" s="11" t="s">
        <v>386</v>
      </c>
      <c r="L1" s="12" t="s">
        <v>390</v>
      </c>
      <c r="N1" s="15" t="s">
        <v>391</v>
      </c>
      <c r="O1" s="12" t="s">
        <v>388</v>
      </c>
    </row>
    <row r="2" spans="1:15" ht="14.5" customHeight="1">
      <c r="A2" s="8">
        <v>1</v>
      </c>
      <c r="B2" s="9" t="s">
        <v>67</v>
      </c>
      <c r="D2" s="8">
        <v>1</v>
      </c>
      <c r="E2" s="1" t="s">
        <v>360</v>
      </c>
      <c r="F2" s="9" t="s">
        <v>392</v>
      </c>
      <c r="H2" s="8">
        <v>1</v>
      </c>
      <c r="I2" s="9" t="s">
        <v>174</v>
      </c>
      <c r="K2" s="8">
        <v>1</v>
      </c>
      <c r="L2" s="9" t="s">
        <v>152</v>
      </c>
      <c r="N2" s="1">
        <v>0</v>
      </c>
      <c r="O2" s="9" t="s">
        <v>393</v>
      </c>
    </row>
    <row r="3" spans="1:15" ht="14.5" customHeight="1">
      <c r="A3" s="8">
        <v>2</v>
      </c>
      <c r="B3" s="9" t="s">
        <v>116</v>
      </c>
      <c r="D3" s="8">
        <v>2</v>
      </c>
      <c r="E3" s="1" t="s">
        <v>280</v>
      </c>
      <c r="F3" s="9" t="s">
        <v>394</v>
      </c>
      <c r="H3" s="8">
        <v>2</v>
      </c>
      <c r="I3" s="9" t="s">
        <v>68</v>
      </c>
      <c r="K3" s="8">
        <v>2</v>
      </c>
      <c r="L3" s="9" t="s">
        <v>121</v>
      </c>
      <c r="N3" s="1">
        <v>1</v>
      </c>
      <c r="O3" s="9" t="s">
        <v>395</v>
      </c>
    </row>
    <row r="4" spans="1:15" ht="14.5" customHeight="1">
      <c r="A4" s="8">
        <v>3</v>
      </c>
      <c r="B4" s="9" t="s">
        <v>167</v>
      </c>
      <c r="D4" s="8">
        <v>3</v>
      </c>
      <c r="E4" s="1" t="s">
        <v>374</v>
      </c>
      <c r="F4" s="9" t="s">
        <v>396</v>
      </c>
      <c r="H4" s="8">
        <v>3</v>
      </c>
      <c r="I4" s="9" t="s">
        <v>51</v>
      </c>
      <c r="K4" s="8">
        <v>3</v>
      </c>
      <c r="L4" s="9" t="s">
        <v>172</v>
      </c>
      <c r="N4" s="1">
        <v>2</v>
      </c>
      <c r="O4" s="9" t="s">
        <v>397</v>
      </c>
    </row>
    <row r="5" spans="1:15" ht="14.5" customHeight="1">
      <c r="A5" s="8">
        <v>4</v>
      </c>
      <c r="B5" s="9" t="s">
        <v>101</v>
      </c>
      <c r="D5" s="8">
        <v>4</v>
      </c>
      <c r="E5" s="1" t="s">
        <v>180</v>
      </c>
      <c r="F5" s="9" t="s">
        <v>398</v>
      </c>
      <c r="H5" s="8">
        <v>4</v>
      </c>
      <c r="I5" s="9" t="s">
        <v>42</v>
      </c>
      <c r="K5" s="8">
        <v>4</v>
      </c>
      <c r="L5" s="9" t="s">
        <v>399</v>
      </c>
      <c r="N5" s="1"/>
      <c r="O5" s="9"/>
    </row>
    <row r="6" spans="1:15" ht="14.5" customHeight="1">
      <c r="A6" s="8">
        <v>5</v>
      </c>
      <c r="B6" s="9" t="s">
        <v>400</v>
      </c>
      <c r="D6" s="8">
        <v>5</v>
      </c>
      <c r="E6" s="1" t="s">
        <v>74</v>
      </c>
      <c r="F6" s="9" t="s">
        <v>401</v>
      </c>
      <c r="H6" s="8">
        <v>5</v>
      </c>
      <c r="I6" s="9" t="s">
        <v>96</v>
      </c>
      <c r="K6" s="8">
        <v>5</v>
      </c>
      <c r="L6" s="9" t="s">
        <v>99</v>
      </c>
      <c r="N6" s="1"/>
      <c r="O6" s="9"/>
    </row>
    <row r="7" spans="1:15" ht="14.5" customHeight="1">
      <c r="A7" s="8">
        <v>6</v>
      </c>
      <c r="B7" s="9" t="s">
        <v>112</v>
      </c>
      <c r="D7" s="8">
        <v>6</v>
      </c>
      <c r="E7" s="1" t="s">
        <v>113</v>
      </c>
      <c r="F7" s="9" t="s">
        <v>402</v>
      </c>
      <c r="H7" s="8">
        <v>6</v>
      </c>
      <c r="I7" s="9" t="s">
        <v>60</v>
      </c>
      <c r="K7" s="8">
        <v>6</v>
      </c>
      <c r="L7" s="9" t="s">
        <v>39</v>
      </c>
      <c r="N7" s="1"/>
      <c r="O7" s="9"/>
    </row>
    <row r="8" spans="1:15" ht="14.5" customHeight="1">
      <c r="A8" s="8">
        <v>7</v>
      </c>
      <c r="B8" s="9" t="s">
        <v>188</v>
      </c>
      <c r="D8" s="8">
        <v>7</v>
      </c>
      <c r="E8" s="1" t="s">
        <v>307</v>
      </c>
      <c r="F8" s="9" t="s">
        <v>403</v>
      </c>
      <c r="H8" s="8">
        <v>7</v>
      </c>
      <c r="I8" s="9" t="s">
        <v>314</v>
      </c>
      <c r="K8" s="8">
        <v>7</v>
      </c>
      <c r="L8" s="9" t="s">
        <v>57</v>
      </c>
      <c r="N8" s="1"/>
      <c r="O8" s="9"/>
    </row>
    <row r="9" spans="1:15" ht="14.5" customHeight="1">
      <c r="A9" s="8">
        <v>8</v>
      </c>
      <c r="B9" s="9" t="s">
        <v>209</v>
      </c>
      <c r="D9" s="8">
        <v>8</v>
      </c>
      <c r="E9" s="1" t="s">
        <v>404</v>
      </c>
      <c r="F9" s="9" t="s">
        <v>405</v>
      </c>
      <c r="H9" s="8">
        <v>8</v>
      </c>
      <c r="I9" s="9" t="s">
        <v>320</v>
      </c>
      <c r="K9" s="8">
        <v>8</v>
      </c>
      <c r="L9" s="9" t="s">
        <v>406</v>
      </c>
      <c r="N9" s="1"/>
      <c r="O9" s="9"/>
    </row>
    <row r="10" spans="1:15" ht="14.5" customHeight="1">
      <c r="A10" s="8">
        <v>9</v>
      </c>
      <c r="B10" s="9" t="s">
        <v>263</v>
      </c>
      <c r="D10" s="8">
        <v>9</v>
      </c>
      <c r="E10" s="1" t="s">
        <v>43</v>
      </c>
      <c r="F10" s="9" t="s">
        <v>407</v>
      </c>
      <c r="H10" s="8">
        <v>9</v>
      </c>
      <c r="I10" s="9" t="s">
        <v>373</v>
      </c>
      <c r="K10" s="8">
        <v>9</v>
      </c>
      <c r="L10" s="9" t="s">
        <v>65</v>
      </c>
      <c r="N10" s="1"/>
      <c r="O10" s="9"/>
    </row>
    <row r="11" spans="1:15" ht="14.5" customHeight="1">
      <c r="A11" s="8">
        <v>10</v>
      </c>
      <c r="B11" s="9" t="s">
        <v>59</v>
      </c>
      <c r="D11" s="8">
        <v>10</v>
      </c>
      <c r="E11" s="1" t="s">
        <v>408</v>
      </c>
      <c r="F11" s="9" t="s">
        <v>409</v>
      </c>
      <c r="H11" s="8">
        <v>10</v>
      </c>
      <c r="I11" s="9"/>
      <c r="K11" s="8">
        <v>10</v>
      </c>
      <c r="L11" s="9" t="s">
        <v>85</v>
      </c>
      <c r="N11" s="1"/>
      <c r="O11" s="9"/>
    </row>
    <row r="12" spans="1:15" ht="14.5" customHeight="1">
      <c r="A12" s="8">
        <v>11</v>
      </c>
      <c r="B12" s="9" t="s">
        <v>95</v>
      </c>
      <c r="D12" s="8">
        <v>11</v>
      </c>
      <c r="E12" s="1" t="s">
        <v>298</v>
      </c>
      <c r="F12" s="9" t="s">
        <v>410</v>
      </c>
      <c r="H12" s="8">
        <v>11</v>
      </c>
      <c r="I12" s="9"/>
      <c r="K12" s="8">
        <v>11</v>
      </c>
      <c r="L12" s="9" t="s">
        <v>79</v>
      </c>
      <c r="N12" s="1"/>
      <c r="O12" s="9"/>
    </row>
    <row r="13" spans="1:15" ht="14.5" customHeight="1">
      <c r="A13" s="8">
        <v>12</v>
      </c>
      <c r="B13" s="9" t="s">
        <v>50</v>
      </c>
      <c r="D13" s="8">
        <v>12</v>
      </c>
      <c r="E13" s="1" t="s">
        <v>123</v>
      </c>
      <c r="F13" s="9" t="s">
        <v>411</v>
      </c>
      <c r="H13" s="8">
        <v>12</v>
      </c>
      <c r="I13" s="9"/>
      <c r="K13" s="8">
        <v>12</v>
      </c>
      <c r="L13" s="9" t="s">
        <v>412</v>
      </c>
      <c r="N13" s="1"/>
      <c r="O13" s="9"/>
    </row>
    <row r="14" spans="1:15" ht="14.5" customHeight="1">
      <c r="A14" s="8">
        <v>13</v>
      </c>
      <c r="B14" s="9" t="s">
        <v>413</v>
      </c>
      <c r="D14" s="8">
        <v>13</v>
      </c>
      <c r="E14" s="1" t="s">
        <v>161</v>
      </c>
      <c r="F14" s="9" t="s">
        <v>414</v>
      </c>
      <c r="H14" s="8">
        <v>13</v>
      </c>
      <c r="I14" s="9"/>
      <c r="K14" s="8">
        <v>13</v>
      </c>
      <c r="L14" s="9" t="s">
        <v>333</v>
      </c>
      <c r="N14" s="1"/>
      <c r="O14" s="9"/>
    </row>
    <row r="15" spans="1:15" ht="14.5" customHeight="1">
      <c r="A15" s="8">
        <v>14</v>
      </c>
      <c r="B15" s="9" t="s">
        <v>415</v>
      </c>
      <c r="D15" s="8">
        <v>14</v>
      </c>
      <c r="E15" s="1" t="s">
        <v>335</v>
      </c>
      <c r="F15" s="9" t="s">
        <v>416</v>
      </c>
      <c r="H15" s="8">
        <v>14</v>
      </c>
      <c r="I15" s="9"/>
      <c r="K15" s="8">
        <v>14</v>
      </c>
      <c r="L15" s="9"/>
      <c r="N15" s="1"/>
      <c r="O15" s="9"/>
    </row>
    <row r="16" spans="1:15" ht="14.5" customHeight="1">
      <c r="A16" s="8">
        <v>15</v>
      </c>
      <c r="B16" s="9" t="s">
        <v>417</v>
      </c>
      <c r="D16" s="8">
        <v>15</v>
      </c>
      <c r="E16" s="1"/>
      <c r="F16" s="9"/>
      <c r="H16" s="8">
        <v>15</v>
      </c>
      <c r="I16" s="9"/>
      <c r="K16" s="8">
        <v>15</v>
      </c>
      <c r="L16" s="9"/>
      <c r="N16" s="1"/>
      <c r="O16" s="9"/>
    </row>
    <row r="17" spans="1:15" ht="14.5" customHeight="1">
      <c r="A17" s="8">
        <v>16</v>
      </c>
      <c r="B17" s="9" t="s">
        <v>132</v>
      </c>
      <c r="D17" s="8">
        <v>16</v>
      </c>
      <c r="E17" s="1"/>
      <c r="F17" s="9"/>
      <c r="H17" s="8">
        <v>16</v>
      </c>
      <c r="I17" s="9"/>
      <c r="K17" s="8">
        <v>16</v>
      </c>
      <c r="L17" s="9"/>
      <c r="N17" s="1"/>
      <c r="O17" s="9"/>
    </row>
    <row r="18" spans="1:15" ht="14.5" customHeight="1">
      <c r="A18" s="8">
        <v>17</v>
      </c>
      <c r="B18" s="9" t="s">
        <v>184</v>
      </c>
      <c r="D18" s="8">
        <v>17</v>
      </c>
      <c r="E18" s="1"/>
      <c r="F18" s="9"/>
      <c r="H18" s="8">
        <v>17</v>
      </c>
      <c r="I18" s="9"/>
      <c r="K18" s="8">
        <v>17</v>
      </c>
      <c r="L18" s="9"/>
      <c r="N18" s="1"/>
      <c r="O18" s="9"/>
    </row>
    <row r="19" spans="1:15" ht="14.5" customHeight="1">
      <c r="A19" s="8">
        <v>18</v>
      </c>
      <c r="B19" s="9" t="s">
        <v>418</v>
      </c>
      <c r="D19" s="8">
        <v>18</v>
      </c>
      <c r="E19" s="1"/>
      <c r="F19" s="9"/>
      <c r="H19" s="8">
        <v>18</v>
      </c>
      <c r="I19" s="9"/>
      <c r="K19" s="8">
        <v>18</v>
      </c>
      <c r="L19" s="9"/>
      <c r="N19" s="1"/>
      <c r="O19" s="9"/>
    </row>
    <row r="20" spans="1:15" ht="14.5" customHeight="1">
      <c r="A20" s="8">
        <v>19</v>
      </c>
      <c r="B20" s="9" t="s">
        <v>419</v>
      </c>
      <c r="D20" s="8">
        <v>19</v>
      </c>
      <c r="E20" s="1"/>
      <c r="F20" s="9"/>
      <c r="H20" s="8">
        <v>19</v>
      </c>
      <c r="I20" s="9"/>
      <c r="K20" s="8">
        <v>19</v>
      </c>
      <c r="L20" s="9"/>
      <c r="N20" s="1"/>
      <c r="O20" s="9"/>
    </row>
    <row r="21" spans="1:15" ht="14.5" customHeight="1">
      <c r="A21" s="8">
        <v>20</v>
      </c>
      <c r="B21" s="9" t="s">
        <v>420</v>
      </c>
      <c r="D21" s="8">
        <v>20</v>
      </c>
      <c r="E21" s="1"/>
      <c r="F21" s="9"/>
      <c r="H21" s="8">
        <v>20</v>
      </c>
      <c r="I21" s="9"/>
      <c r="K21" s="8">
        <v>20</v>
      </c>
      <c r="L21" s="9"/>
      <c r="N21" s="1"/>
      <c r="O21" s="9"/>
    </row>
    <row r="22" spans="1:15" ht="14.5" customHeight="1">
      <c r="A22" s="8">
        <v>21</v>
      </c>
      <c r="B22" s="9" t="s">
        <v>154</v>
      </c>
      <c r="D22" s="8">
        <v>21</v>
      </c>
      <c r="E22" s="1"/>
      <c r="F22" s="9"/>
      <c r="H22" s="8">
        <v>21</v>
      </c>
      <c r="I22" s="9"/>
      <c r="K22" s="8">
        <v>21</v>
      </c>
      <c r="L22" s="9"/>
      <c r="N22" s="1"/>
      <c r="O22" s="9"/>
    </row>
    <row r="23" spans="1:15" ht="14.5" customHeight="1">
      <c r="A23" s="8">
        <v>22</v>
      </c>
      <c r="B23" s="10" t="s">
        <v>41</v>
      </c>
      <c r="D23" s="8">
        <v>22</v>
      </c>
      <c r="E23" s="2"/>
      <c r="F23" s="10"/>
      <c r="H23" s="8">
        <v>22</v>
      </c>
      <c r="I23" s="10"/>
      <c r="K23" s="8">
        <v>22</v>
      </c>
      <c r="L23" s="10"/>
      <c r="N23" s="2"/>
      <c r="O23" s="10"/>
    </row>
    <row r="24" spans="1:15" ht="14.5" customHeight="1">
      <c r="A24" s="13">
        <v>23</v>
      </c>
      <c r="B24" s="14" t="s">
        <v>421</v>
      </c>
      <c r="D24" s="13">
        <v>23</v>
      </c>
      <c r="E24" s="16"/>
      <c r="F24" s="14"/>
      <c r="H24" s="13">
        <v>23</v>
      </c>
      <c r="I24" s="14"/>
      <c r="K24" s="13">
        <v>23</v>
      </c>
      <c r="L24" s="14"/>
      <c r="N24" s="16"/>
      <c r="O24" s="14"/>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heetViews>
  <sheetFormatPr defaultRowHeight="14" outlineLevelCol="1"/>
  <cols>
    <col min="1" max="1" width="8.4140625" customWidth="1"/>
    <col min="2" max="2" width="25.83203125" bestFit="1" customWidth="1"/>
    <col min="3" max="3" width="29.4140625" customWidth="1"/>
    <col min="4" max="4" width="20.4140625" customWidth="1"/>
    <col min="5" max="5" width="20.1640625" bestFit="1" customWidth="1"/>
    <col min="6" max="6" width="21.1640625" customWidth="1"/>
    <col min="7" max="7" width="15.1640625" customWidth="1"/>
    <col min="8" max="8" width="19.4140625" bestFit="1" customWidth="1"/>
    <col min="9" max="9" width="16.4140625" bestFit="1" customWidth="1"/>
    <col min="10" max="10" width="15.4140625" customWidth="1"/>
    <col min="11" max="11" width="15" bestFit="1" customWidth="1"/>
    <col min="12" max="13" width="23" bestFit="1" customWidth="1"/>
    <col min="14" max="14" width="21.75" hidden="1" customWidth="1" outlineLevel="1"/>
    <col min="15" max="15" width="23" hidden="1" customWidth="1" outlineLevel="1"/>
    <col min="16" max="16" width="26.83203125" hidden="1" customWidth="1" outlineLevel="1"/>
    <col min="17" max="17" width="90.4140625" customWidth="1" collapsed="1"/>
    <col min="18" max="18" width="90.4140625" customWidth="1"/>
  </cols>
  <sheetData>
    <row r="1" spans="1:18">
      <c r="A1" s="4" t="s">
        <v>0</v>
      </c>
      <c r="B1" s="4" t="s">
        <v>1</v>
      </c>
      <c r="C1" s="4" t="s">
        <v>2</v>
      </c>
      <c r="D1" s="4" t="s">
        <v>3</v>
      </c>
      <c r="E1" s="4" t="s">
        <v>4</v>
      </c>
      <c r="F1" s="4" t="s">
        <v>5</v>
      </c>
      <c r="G1" s="4" t="s">
        <v>6</v>
      </c>
      <c r="H1" s="4" t="s">
        <v>7</v>
      </c>
      <c r="I1" s="4" t="s">
        <v>8</v>
      </c>
      <c r="J1" s="4" t="s">
        <v>9</v>
      </c>
      <c r="K1" s="4" t="s">
        <v>10</v>
      </c>
      <c r="L1" s="4" t="s">
        <v>11</v>
      </c>
      <c r="M1" s="4" t="s">
        <v>12</v>
      </c>
      <c r="N1" s="6" t="s">
        <v>13</v>
      </c>
      <c r="O1" s="6" t="s">
        <v>14</v>
      </c>
      <c r="P1" s="6" t="s">
        <v>15</v>
      </c>
      <c r="Q1" s="17" t="s">
        <v>17</v>
      </c>
      <c r="R1" s="17" t="s">
        <v>18</v>
      </c>
    </row>
    <row r="2" spans="1:18" s="3" customFormat="1" ht="20">
      <c r="A2" s="5" t="s">
        <v>19</v>
      </c>
      <c r="B2" s="5" t="s">
        <v>20</v>
      </c>
      <c r="C2" s="5" t="s">
        <v>21</v>
      </c>
      <c r="D2" s="5" t="s">
        <v>22</v>
      </c>
      <c r="E2" s="5" t="s">
        <v>23</v>
      </c>
      <c r="F2" s="5" t="s">
        <v>24</v>
      </c>
      <c r="G2" s="5" t="s">
        <v>25</v>
      </c>
      <c r="H2" s="5" t="s">
        <v>26</v>
      </c>
      <c r="I2" s="5" t="s">
        <v>27</v>
      </c>
      <c r="J2" s="5" t="s">
        <v>28</v>
      </c>
      <c r="K2" s="5" t="s">
        <v>24</v>
      </c>
      <c r="L2" s="5" t="s">
        <v>29</v>
      </c>
      <c r="M2" s="5" t="s">
        <v>30</v>
      </c>
      <c r="N2" s="7" t="s">
        <v>31</v>
      </c>
      <c r="O2" s="7" t="s">
        <v>32</v>
      </c>
      <c r="P2" s="7" t="s">
        <v>33</v>
      </c>
      <c r="Q2" s="18" t="s">
        <v>35</v>
      </c>
      <c r="R2" s="18" t="s">
        <v>36</v>
      </c>
    </row>
    <row r="3" spans="1:18" ht="126">
      <c r="A3" s="20">
        <f>ROW()-2</f>
        <v>1</v>
      </c>
      <c r="B3" s="20" t="s">
        <v>422</v>
      </c>
      <c r="C3" s="20" t="s">
        <v>423</v>
      </c>
      <c r="D3" s="20" t="s">
        <v>48</v>
      </c>
      <c r="E3" s="20" t="s">
        <v>424</v>
      </c>
      <c r="F3" s="20" t="s">
        <v>417</v>
      </c>
      <c r="G3" s="19">
        <v>46035</v>
      </c>
      <c r="H3" s="19">
        <v>46035</v>
      </c>
      <c r="I3" s="20">
        <v>2</v>
      </c>
      <c r="J3" s="20" t="s">
        <v>60</v>
      </c>
      <c r="K3" s="20" t="s">
        <v>360</v>
      </c>
      <c r="L3" s="19"/>
      <c r="M3" s="19" t="s">
        <v>52</v>
      </c>
      <c r="N3" s="21">
        <f>TrackerTable8[[#This Row],[Completion Date]]-TrackerTable8[[#This Row],[Query Date]]</f>
        <v>-46035</v>
      </c>
      <c r="O3" s="21">
        <f>TrackerTable8[[#This Row],[Completion Date]]-TrackerTable8[[#This Row],[Receive Date]]</f>
        <v>-46035</v>
      </c>
      <c r="P3" s="21">
        <f>TrackerTable8[[#This Row],[Receive Date]]-TrackerTable8[[#This Row],[Query Date]]</f>
        <v>0</v>
      </c>
      <c r="Q3" s="19" t="s">
        <v>425</v>
      </c>
      <c r="R3" s="19"/>
    </row>
    <row r="4" spans="1:18">
      <c r="A4" s="20">
        <f t="shared" ref="A4:A35" si="0">ROW()-2</f>
        <v>2</v>
      </c>
      <c r="B4" s="20"/>
      <c r="C4" s="20"/>
      <c r="D4" s="20"/>
      <c r="E4" s="20"/>
      <c r="F4" s="20"/>
      <c r="G4" s="19"/>
      <c r="H4" s="19"/>
      <c r="I4" s="20"/>
      <c r="J4" s="20"/>
      <c r="K4" s="20"/>
      <c r="L4" s="19"/>
      <c r="M4" s="19"/>
      <c r="N4" s="21"/>
      <c r="O4" s="21"/>
      <c r="P4" s="21"/>
      <c r="Q4" s="19"/>
      <c r="R4" s="19"/>
    </row>
    <row r="5" spans="1:18">
      <c r="A5" s="20">
        <f t="shared" si="0"/>
        <v>3</v>
      </c>
      <c r="B5" s="20"/>
      <c r="C5" s="20"/>
      <c r="D5" s="20"/>
      <c r="E5" s="20"/>
      <c r="F5" s="20"/>
      <c r="G5" s="19"/>
      <c r="H5" s="19"/>
      <c r="I5" s="20"/>
      <c r="J5" s="20"/>
      <c r="K5" s="20"/>
      <c r="L5" s="19"/>
      <c r="M5" s="19"/>
      <c r="N5" s="21"/>
      <c r="O5" s="21"/>
      <c r="P5" s="21"/>
      <c r="Q5" s="19"/>
      <c r="R5" s="19"/>
    </row>
    <row r="6" spans="1:18">
      <c r="A6" s="20">
        <f t="shared" si="0"/>
        <v>4</v>
      </c>
      <c r="B6" s="20"/>
      <c r="C6" s="20"/>
      <c r="D6" s="20"/>
      <c r="E6" s="20"/>
      <c r="F6" s="20"/>
      <c r="G6" s="19"/>
      <c r="H6" s="19"/>
      <c r="I6" s="20"/>
      <c r="J6" s="20"/>
      <c r="K6" s="20"/>
      <c r="L6" s="19"/>
      <c r="M6" s="19"/>
      <c r="N6" s="21"/>
      <c r="O6" s="21"/>
      <c r="P6" s="21"/>
      <c r="Q6" s="19"/>
      <c r="R6" s="19"/>
    </row>
    <row r="7" spans="1:18">
      <c r="A7" s="20">
        <f t="shared" si="0"/>
        <v>5</v>
      </c>
      <c r="B7" s="20"/>
      <c r="C7" s="20"/>
      <c r="D7" s="20"/>
      <c r="E7" s="20"/>
      <c r="F7" s="20"/>
      <c r="G7" s="19"/>
      <c r="H7" s="19"/>
      <c r="I7" s="20"/>
      <c r="J7" s="20"/>
      <c r="K7" s="20"/>
      <c r="L7" s="19"/>
      <c r="M7" s="19"/>
      <c r="N7" s="21"/>
      <c r="O7" s="21"/>
      <c r="P7" s="21"/>
      <c r="Q7" s="19"/>
      <c r="R7" s="19"/>
    </row>
    <row r="8" spans="1:18">
      <c r="A8" s="20">
        <f t="shared" si="0"/>
        <v>6</v>
      </c>
      <c r="B8" s="20"/>
      <c r="C8" s="20"/>
      <c r="D8" s="20"/>
      <c r="E8" s="20"/>
      <c r="F8" s="20"/>
      <c r="G8" s="19"/>
      <c r="H8" s="19"/>
      <c r="I8" s="20"/>
      <c r="J8" s="20"/>
      <c r="K8" s="20"/>
      <c r="L8" s="19"/>
      <c r="M8" s="19"/>
      <c r="N8" s="21"/>
      <c r="O8" s="21"/>
      <c r="P8" s="21"/>
      <c r="Q8" s="19"/>
      <c r="R8" s="19"/>
    </row>
    <row r="9" spans="1:18">
      <c r="A9" s="20">
        <f t="shared" si="0"/>
        <v>7</v>
      </c>
      <c r="B9" s="20"/>
      <c r="C9" s="20"/>
      <c r="D9" s="20"/>
      <c r="E9" s="20"/>
      <c r="F9" s="20"/>
      <c r="G9" s="19"/>
      <c r="H9" s="19"/>
      <c r="I9" s="20"/>
      <c r="J9" s="20"/>
      <c r="K9" s="20"/>
      <c r="L9" s="19"/>
      <c r="M9" s="19"/>
      <c r="N9" s="21"/>
      <c r="O9" s="21"/>
      <c r="P9" s="21"/>
      <c r="Q9" s="19"/>
      <c r="R9" s="19"/>
    </row>
    <row r="10" spans="1:18">
      <c r="A10" s="20">
        <f t="shared" si="0"/>
        <v>8</v>
      </c>
      <c r="B10" s="20"/>
      <c r="C10" s="20"/>
      <c r="D10" s="20"/>
      <c r="E10" s="20"/>
      <c r="F10" s="20"/>
      <c r="G10" s="19"/>
      <c r="H10" s="19"/>
      <c r="I10" s="20"/>
      <c r="J10" s="20"/>
      <c r="K10" s="20"/>
      <c r="L10" s="19"/>
      <c r="M10" s="19"/>
      <c r="N10" s="21"/>
      <c r="O10" s="21"/>
      <c r="P10" s="21"/>
      <c r="Q10" s="19"/>
      <c r="R10" s="19"/>
    </row>
    <row r="11" spans="1:18">
      <c r="A11" s="20">
        <f t="shared" si="0"/>
        <v>9</v>
      </c>
      <c r="B11" s="20"/>
      <c r="C11" s="20"/>
      <c r="D11" s="20"/>
      <c r="E11" s="20"/>
      <c r="F11" s="20"/>
      <c r="G11" s="19"/>
      <c r="H11" s="19"/>
      <c r="I11" s="20"/>
      <c r="J11" s="20"/>
      <c r="K11" s="20"/>
      <c r="L11" s="19"/>
      <c r="M11" s="19"/>
      <c r="N11" s="21"/>
      <c r="O11" s="21"/>
      <c r="P11" s="21"/>
      <c r="Q11" s="19"/>
      <c r="R11" s="19"/>
    </row>
    <row r="12" spans="1:18">
      <c r="A12" s="20">
        <f t="shared" si="0"/>
        <v>10</v>
      </c>
      <c r="B12" s="20"/>
      <c r="C12" s="20"/>
      <c r="D12" s="20"/>
      <c r="E12" s="20"/>
      <c r="F12" s="20"/>
      <c r="G12" s="19"/>
      <c r="H12" s="19"/>
      <c r="I12" s="20"/>
      <c r="J12" s="20"/>
      <c r="K12" s="20"/>
      <c r="L12" s="19"/>
      <c r="M12" s="19"/>
      <c r="N12" s="21"/>
      <c r="O12" s="21"/>
      <c r="P12" s="21"/>
      <c r="Q12" s="19"/>
      <c r="R12" s="19"/>
    </row>
    <row r="13" spans="1:18">
      <c r="A13" s="20">
        <f t="shared" si="0"/>
        <v>11</v>
      </c>
      <c r="B13" s="20"/>
      <c r="C13" s="20"/>
      <c r="D13" s="20"/>
      <c r="E13" s="20"/>
      <c r="F13" s="20"/>
      <c r="G13" s="19"/>
      <c r="H13" s="19"/>
      <c r="I13" s="20"/>
      <c r="J13" s="20"/>
      <c r="K13" s="20"/>
      <c r="L13" s="19"/>
      <c r="M13" s="19"/>
      <c r="N13" s="21"/>
      <c r="O13" s="21"/>
      <c r="P13" s="21"/>
      <c r="Q13" s="19"/>
      <c r="R13" s="19"/>
    </row>
    <row r="14" spans="1:18">
      <c r="A14" s="20">
        <f t="shared" si="0"/>
        <v>12</v>
      </c>
      <c r="B14" s="20"/>
      <c r="C14" s="20"/>
      <c r="D14" s="20"/>
      <c r="E14" s="20"/>
      <c r="F14" s="20"/>
      <c r="G14" s="19"/>
      <c r="H14" s="19"/>
      <c r="I14" s="20"/>
      <c r="J14" s="20"/>
      <c r="K14" s="20"/>
      <c r="L14" s="19"/>
      <c r="M14" s="19"/>
      <c r="N14" s="21"/>
      <c r="O14" s="21"/>
      <c r="P14" s="21"/>
      <c r="Q14" s="19"/>
      <c r="R14" s="19"/>
    </row>
    <row r="15" spans="1:18">
      <c r="A15" s="20">
        <f t="shared" si="0"/>
        <v>13</v>
      </c>
      <c r="B15" s="20"/>
      <c r="C15" s="20"/>
      <c r="D15" s="20"/>
      <c r="E15" s="20"/>
      <c r="F15" s="20"/>
      <c r="G15" s="19"/>
      <c r="H15" s="19"/>
      <c r="I15" s="20"/>
      <c r="J15" s="20"/>
      <c r="K15" s="20"/>
      <c r="L15" s="19"/>
      <c r="M15" s="19"/>
      <c r="N15" s="21"/>
      <c r="O15" s="21"/>
      <c r="P15" s="21"/>
      <c r="Q15" s="19"/>
      <c r="R15" s="19"/>
    </row>
    <row r="16" spans="1:18">
      <c r="A16" s="20">
        <f t="shared" si="0"/>
        <v>14</v>
      </c>
      <c r="B16" s="20"/>
      <c r="C16" s="20"/>
      <c r="D16" s="20"/>
      <c r="E16" s="20"/>
      <c r="F16" s="20"/>
      <c r="G16" s="19"/>
      <c r="H16" s="19"/>
      <c r="I16" s="20"/>
      <c r="J16" s="20"/>
      <c r="K16" s="20"/>
      <c r="L16" s="19"/>
      <c r="M16" s="19"/>
      <c r="N16" s="21"/>
      <c r="O16" s="21"/>
      <c r="P16" s="21"/>
      <c r="Q16" s="19"/>
      <c r="R16" s="19"/>
    </row>
    <row r="17" spans="1:18">
      <c r="A17" s="20">
        <f t="shared" si="0"/>
        <v>15</v>
      </c>
      <c r="B17" s="20"/>
      <c r="C17" s="20"/>
      <c r="D17" s="20"/>
      <c r="E17" s="20"/>
      <c r="F17" s="20"/>
      <c r="G17" s="19"/>
      <c r="H17" s="19"/>
      <c r="I17" s="20"/>
      <c r="J17" s="20"/>
      <c r="K17" s="20"/>
      <c r="L17" s="19"/>
      <c r="M17" s="19"/>
      <c r="N17" s="21"/>
      <c r="O17" s="21"/>
      <c r="P17" s="21"/>
      <c r="Q17" s="19"/>
      <c r="R17" s="19"/>
    </row>
    <row r="18" spans="1:18">
      <c r="A18" s="20">
        <f t="shared" si="0"/>
        <v>16</v>
      </c>
      <c r="B18" s="20"/>
      <c r="C18" s="20"/>
      <c r="D18" s="20"/>
      <c r="E18" s="20"/>
      <c r="F18" s="20"/>
      <c r="G18" s="19"/>
      <c r="H18" s="19"/>
      <c r="I18" s="20"/>
      <c r="J18" s="20"/>
      <c r="K18" s="20"/>
      <c r="L18" s="19"/>
      <c r="M18" s="19"/>
      <c r="N18" s="21">
        <f>TrackerTable8[[#This Row],[Completion Date]]-TrackerTable8[[#This Row],[Query Date]]</f>
        <v>0</v>
      </c>
      <c r="O18" s="21">
        <f>TrackerTable8[[#This Row],[Completion Date]]-TrackerTable8[[#This Row],[Receive Date]]</f>
        <v>0</v>
      </c>
      <c r="P18" s="21">
        <f>TrackerTable8[[#This Row],[Receive Date]]-TrackerTable8[[#This Row],[Query Date]]</f>
        <v>0</v>
      </c>
      <c r="Q18" s="19"/>
      <c r="R18" s="19"/>
    </row>
    <row r="19" spans="1:18">
      <c r="A19" s="20">
        <f t="shared" si="0"/>
        <v>17</v>
      </c>
      <c r="B19" s="20"/>
      <c r="C19" s="20"/>
      <c r="D19" s="20"/>
      <c r="E19" s="20"/>
      <c r="F19" s="20"/>
      <c r="G19" s="19"/>
      <c r="H19" s="19"/>
      <c r="I19" s="20"/>
      <c r="J19" s="20"/>
      <c r="K19" s="20"/>
      <c r="L19" s="19"/>
      <c r="M19" s="19"/>
      <c r="N19" s="21">
        <f>TrackerTable8[[#This Row],[Completion Date]]-TrackerTable8[[#This Row],[Query Date]]</f>
        <v>0</v>
      </c>
      <c r="O19" s="21">
        <f>TrackerTable8[[#This Row],[Completion Date]]-TrackerTable8[[#This Row],[Receive Date]]</f>
        <v>0</v>
      </c>
      <c r="P19" s="21">
        <f>TrackerTable8[[#This Row],[Receive Date]]-TrackerTable8[[#This Row],[Query Date]]</f>
        <v>0</v>
      </c>
      <c r="Q19" s="19"/>
      <c r="R19" s="19"/>
    </row>
    <row r="20" spans="1:18">
      <c r="A20" s="20">
        <f t="shared" si="0"/>
        <v>18</v>
      </c>
      <c r="B20" s="20"/>
      <c r="C20" s="20"/>
      <c r="D20" s="20"/>
      <c r="E20" s="20"/>
      <c r="F20" s="20"/>
      <c r="G20" s="19"/>
      <c r="H20" s="19"/>
      <c r="I20" s="20"/>
      <c r="J20" s="20"/>
      <c r="K20" s="20"/>
      <c r="L20" s="19"/>
      <c r="M20" s="19"/>
      <c r="N20" s="21">
        <f>TrackerTable8[[#This Row],[Completion Date]]-TrackerTable8[[#This Row],[Query Date]]</f>
        <v>0</v>
      </c>
      <c r="O20" s="21">
        <f>TrackerTable8[[#This Row],[Completion Date]]-TrackerTable8[[#This Row],[Receive Date]]</f>
        <v>0</v>
      </c>
      <c r="P20" s="21">
        <f>TrackerTable8[[#This Row],[Receive Date]]-TrackerTable8[[#This Row],[Query Date]]</f>
        <v>0</v>
      </c>
      <c r="Q20" s="19"/>
      <c r="R20" s="19"/>
    </row>
    <row r="21" spans="1:18">
      <c r="A21" s="20">
        <f t="shared" si="0"/>
        <v>19</v>
      </c>
      <c r="B21" s="20"/>
      <c r="C21" s="20"/>
      <c r="D21" s="20"/>
      <c r="E21" s="20"/>
      <c r="F21" s="20"/>
      <c r="G21" s="19"/>
      <c r="H21" s="19"/>
      <c r="I21" s="20"/>
      <c r="J21" s="20"/>
      <c r="K21" s="20"/>
      <c r="L21" s="19"/>
      <c r="M21" s="19"/>
      <c r="N21" s="21">
        <f>TrackerTable8[[#This Row],[Completion Date]]-TrackerTable8[[#This Row],[Query Date]]</f>
        <v>0</v>
      </c>
      <c r="O21" s="21">
        <f>TrackerTable8[[#This Row],[Completion Date]]-TrackerTable8[[#This Row],[Receive Date]]</f>
        <v>0</v>
      </c>
      <c r="P21" s="21">
        <f>TrackerTable8[[#This Row],[Receive Date]]-TrackerTable8[[#This Row],[Query Date]]</f>
        <v>0</v>
      </c>
      <c r="Q21" s="19"/>
      <c r="R21" s="19"/>
    </row>
    <row r="22" spans="1:18">
      <c r="A22" s="20">
        <f t="shared" si="0"/>
        <v>20</v>
      </c>
      <c r="B22" s="20"/>
      <c r="C22" s="20"/>
      <c r="D22" s="20"/>
      <c r="E22" s="20"/>
      <c r="F22" s="20"/>
      <c r="G22" s="19"/>
      <c r="H22" s="19"/>
      <c r="I22" s="20"/>
      <c r="J22" s="20"/>
      <c r="K22" s="20"/>
      <c r="L22" s="19"/>
      <c r="M22" s="19"/>
      <c r="N22" s="21">
        <f>TrackerTable8[[#This Row],[Completion Date]]-TrackerTable8[[#This Row],[Query Date]]</f>
        <v>0</v>
      </c>
      <c r="O22" s="21">
        <f>TrackerTable8[[#This Row],[Completion Date]]-TrackerTable8[[#This Row],[Receive Date]]</f>
        <v>0</v>
      </c>
      <c r="P22" s="21">
        <f>TrackerTable8[[#This Row],[Receive Date]]-TrackerTable8[[#This Row],[Query Date]]</f>
        <v>0</v>
      </c>
      <c r="Q22" s="19"/>
      <c r="R22" s="19"/>
    </row>
    <row r="23" spans="1:18">
      <c r="A23" s="20">
        <f t="shared" si="0"/>
        <v>21</v>
      </c>
      <c r="B23" s="20"/>
      <c r="C23" s="20"/>
      <c r="D23" s="20"/>
      <c r="E23" s="20"/>
      <c r="F23" s="20"/>
      <c r="G23" s="19"/>
      <c r="H23" s="19"/>
      <c r="I23" s="20"/>
      <c r="J23" s="20"/>
      <c r="K23" s="20"/>
      <c r="L23" s="19"/>
      <c r="M23" s="19"/>
      <c r="N23" s="21">
        <f>TrackerTable8[[#This Row],[Completion Date]]-TrackerTable8[[#This Row],[Query Date]]</f>
        <v>0</v>
      </c>
      <c r="O23" s="21">
        <f>TrackerTable8[[#This Row],[Completion Date]]-TrackerTable8[[#This Row],[Receive Date]]</f>
        <v>0</v>
      </c>
      <c r="P23" s="21">
        <f>TrackerTable8[[#This Row],[Receive Date]]-TrackerTable8[[#This Row],[Query Date]]</f>
        <v>0</v>
      </c>
      <c r="Q23" s="19"/>
      <c r="R23" s="19"/>
    </row>
    <row r="24" spans="1:18">
      <c r="A24" s="20">
        <f t="shared" si="0"/>
        <v>22</v>
      </c>
      <c r="B24" s="20"/>
      <c r="C24" s="20"/>
      <c r="D24" s="20"/>
      <c r="E24" s="20"/>
      <c r="F24" s="20"/>
      <c r="G24" s="19"/>
      <c r="H24" s="19"/>
      <c r="I24" s="20"/>
      <c r="J24" s="20"/>
      <c r="K24" s="20"/>
      <c r="L24" s="19"/>
      <c r="M24" s="19"/>
      <c r="N24" s="21">
        <f>TrackerTable8[[#This Row],[Completion Date]]-TrackerTable8[[#This Row],[Query Date]]</f>
        <v>0</v>
      </c>
      <c r="O24" s="21">
        <f>TrackerTable8[[#This Row],[Completion Date]]-TrackerTable8[[#This Row],[Receive Date]]</f>
        <v>0</v>
      </c>
      <c r="P24" s="21">
        <f>TrackerTable8[[#This Row],[Receive Date]]-TrackerTable8[[#This Row],[Query Date]]</f>
        <v>0</v>
      </c>
      <c r="Q24" s="19"/>
      <c r="R24" s="19"/>
    </row>
    <row r="25" spans="1:18">
      <c r="A25" s="20">
        <f t="shared" si="0"/>
        <v>23</v>
      </c>
      <c r="B25" s="20"/>
      <c r="C25" s="20"/>
      <c r="D25" s="20"/>
      <c r="E25" s="20"/>
      <c r="F25" s="20"/>
      <c r="G25" s="19"/>
      <c r="H25" s="19"/>
      <c r="I25" s="20"/>
      <c r="J25" s="20"/>
      <c r="K25" s="20"/>
      <c r="L25" s="19"/>
      <c r="M25" s="19"/>
      <c r="N25" s="21">
        <f>TrackerTable8[[#This Row],[Completion Date]]-TrackerTable8[[#This Row],[Query Date]]</f>
        <v>0</v>
      </c>
      <c r="O25" s="21">
        <f>TrackerTable8[[#This Row],[Completion Date]]-TrackerTable8[[#This Row],[Receive Date]]</f>
        <v>0</v>
      </c>
      <c r="P25" s="21">
        <f>TrackerTable8[[#This Row],[Receive Date]]-TrackerTable8[[#This Row],[Query Date]]</f>
        <v>0</v>
      </c>
      <c r="Q25" s="19"/>
      <c r="R25" s="19"/>
    </row>
    <row r="26" spans="1:18">
      <c r="A26" s="20">
        <f t="shared" si="0"/>
        <v>24</v>
      </c>
      <c r="B26" s="20"/>
      <c r="C26" s="20"/>
      <c r="D26" s="20"/>
      <c r="E26" s="20"/>
      <c r="F26" s="20"/>
      <c r="G26" s="19"/>
      <c r="H26" s="19"/>
      <c r="I26" s="20"/>
      <c r="J26" s="20"/>
      <c r="K26" s="20"/>
      <c r="L26" s="19"/>
      <c r="M26" s="19"/>
      <c r="N26" s="21">
        <f>TrackerTable8[[#This Row],[Completion Date]]-TrackerTable8[[#This Row],[Query Date]]</f>
        <v>0</v>
      </c>
      <c r="O26" s="21">
        <f>TrackerTable8[[#This Row],[Completion Date]]-TrackerTable8[[#This Row],[Receive Date]]</f>
        <v>0</v>
      </c>
      <c r="P26" s="21">
        <f>TrackerTable8[[#This Row],[Receive Date]]-TrackerTable8[[#This Row],[Query Date]]</f>
        <v>0</v>
      </c>
      <c r="Q26" s="19"/>
      <c r="R26" s="19"/>
    </row>
    <row r="27" spans="1:18">
      <c r="A27" s="20">
        <f t="shared" si="0"/>
        <v>25</v>
      </c>
      <c r="B27" s="20"/>
      <c r="C27" s="20"/>
      <c r="D27" s="20"/>
      <c r="E27" s="20"/>
      <c r="F27" s="20"/>
      <c r="G27" s="19"/>
      <c r="H27" s="19"/>
      <c r="I27" s="20"/>
      <c r="J27" s="20"/>
      <c r="K27" s="20"/>
      <c r="L27" s="19"/>
      <c r="M27" s="19"/>
      <c r="N27" s="21">
        <f>TrackerTable8[[#This Row],[Completion Date]]-TrackerTable8[[#This Row],[Query Date]]</f>
        <v>0</v>
      </c>
      <c r="O27" s="21">
        <f>TrackerTable8[[#This Row],[Completion Date]]-TrackerTable8[[#This Row],[Receive Date]]</f>
        <v>0</v>
      </c>
      <c r="P27" s="21">
        <f>TrackerTable8[[#This Row],[Receive Date]]-TrackerTable8[[#This Row],[Query Date]]</f>
        <v>0</v>
      </c>
      <c r="Q27" s="19"/>
      <c r="R27" s="19"/>
    </row>
    <row r="28" spans="1:18">
      <c r="A28" s="20">
        <f t="shared" si="0"/>
        <v>26</v>
      </c>
      <c r="B28" s="20"/>
      <c r="C28" s="20"/>
      <c r="D28" s="20"/>
      <c r="E28" s="20"/>
      <c r="F28" s="20"/>
      <c r="G28" s="19"/>
      <c r="H28" s="19"/>
      <c r="I28" s="20"/>
      <c r="J28" s="20"/>
      <c r="K28" s="20"/>
      <c r="L28" s="19"/>
      <c r="M28" s="19"/>
      <c r="N28" s="21">
        <f>TrackerTable8[[#This Row],[Completion Date]]-TrackerTable8[[#This Row],[Query Date]]</f>
        <v>0</v>
      </c>
      <c r="O28" s="21">
        <f>TrackerTable8[[#This Row],[Completion Date]]-TrackerTable8[[#This Row],[Receive Date]]</f>
        <v>0</v>
      </c>
      <c r="P28" s="21">
        <f>TrackerTable8[[#This Row],[Receive Date]]-TrackerTable8[[#This Row],[Query Date]]</f>
        <v>0</v>
      </c>
      <c r="Q28" s="19"/>
      <c r="R28" s="19"/>
    </row>
    <row r="29" spans="1:18">
      <c r="A29" s="20">
        <f t="shared" si="0"/>
        <v>27</v>
      </c>
      <c r="B29" s="20"/>
      <c r="C29" s="20"/>
      <c r="D29" s="20"/>
      <c r="E29" s="20"/>
      <c r="F29" s="20"/>
      <c r="G29" s="19"/>
      <c r="H29" s="19"/>
      <c r="I29" s="20"/>
      <c r="J29" s="20"/>
      <c r="K29" s="20"/>
      <c r="L29" s="19"/>
      <c r="M29" s="19"/>
      <c r="N29" s="21">
        <f>TrackerTable8[[#This Row],[Completion Date]]-TrackerTable8[[#This Row],[Query Date]]</f>
        <v>0</v>
      </c>
      <c r="O29" s="21">
        <f>TrackerTable8[[#This Row],[Completion Date]]-TrackerTable8[[#This Row],[Receive Date]]</f>
        <v>0</v>
      </c>
      <c r="P29" s="21">
        <f>TrackerTable8[[#This Row],[Receive Date]]-TrackerTable8[[#This Row],[Query Date]]</f>
        <v>0</v>
      </c>
      <c r="Q29" s="19"/>
      <c r="R29" s="19"/>
    </row>
    <row r="30" spans="1:18">
      <c r="A30" s="20">
        <f t="shared" si="0"/>
        <v>28</v>
      </c>
      <c r="B30" s="20"/>
      <c r="C30" s="20"/>
      <c r="D30" s="20"/>
      <c r="E30" s="20"/>
      <c r="F30" s="20"/>
      <c r="G30" s="19"/>
      <c r="H30" s="19"/>
      <c r="I30" s="20"/>
      <c r="J30" s="20"/>
      <c r="K30" s="20"/>
      <c r="L30" s="19"/>
      <c r="M30" s="19"/>
      <c r="N30" s="21">
        <f>TrackerTable8[[#This Row],[Completion Date]]-TrackerTable8[[#This Row],[Query Date]]</f>
        <v>0</v>
      </c>
      <c r="O30" s="21">
        <f>TrackerTable8[[#This Row],[Completion Date]]-TrackerTable8[[#This Row],[Receive Date]]</f>
        <v>0</v>
      </c>
      <c r="P30" s="21">
        <f>TrackerTable8[[#This Row],[Receive Date]]-TrackerTable8[[#This Row],[Query Date]]</f>
        <v>0</v>
      </c>
      <c r="Q30" s="19"/>
      <c r="R30" s="19"/>
    </row>
    <row r="31" spans="1:18">
      <c r="A31" s="20">
        <f t="shared" si="0"/>
        <v>29</v>
      </c>
      <c r="B31" s="20"/>
      <c r="C31" s="20"/>
      <c r="D31" s="20"/>
      <c r="E31" s="20"/>
      <c r="F31" s="20"/>
      <c r="G31" s="19"/>
      <c r="H31" s="19"/>
      <c r="I31" s="20"/>
      <c r="J31" s="20"/>
      <c r="K31" s="20"/>
      <c r="L31" s="19"/>
      <c r="M31" s="19"/>
      <c r="N31" s="21">
        <f>TrackerTable8[[#This Row],[Completion Date]]-TrackerTable8[[#This Row],[Query Date]]</f>
        <v>0</v>
      </c>
      <c r="O31" s="21">
        <f>TrackerTable8[[#This Row],[Completion Date]]-TrackerTable8[[#This Row],[Receive Date]]</f>
        <v>0</v>
      </c>
      <c r="P31" s="21">
        <f>TrackerTable8[[#This Row],[Receive Date]]-TrackerTable8[[#This Row],[Query Date]]</f>
        <v>0</v>
      </c>
      <c r="Q31" s="19"/>
      <c r="R31" s="19"/>
    </row>
    <row r="32" spans="1:18">
      <c r="A32" s="20">
        <f t="shared" si="0"/>
        <v>30</v>
      </c>
      <c r="B32" s="20"/>
      <c r="C32" s="20"/>
      <c r="D32" s="20"/>
      <c r="E32" s="20"/>
      <c r="F32" s="20"/>
      <c r="G32" s="19"/>
      <c r="H32" s="19"/>
      <c r="I32" s="20"/>
      <c r="J32" s="20"/>
      <c r="K32" s="20"/>
      <c r="L32" s="19"/>
      <c r="M32" s="19"/>
      <c r="N32" s="21">
        <f>TrackerTable8[[#This Row],[Completion Date]]-TrackerTable8[[#This Row],[Query Date]]</f>
        <v>0</v>
      </c>
      <c r="O32" s="21">
        <f>TrackerTable8[[#This Row],[Completion Date]]-TrackerTable8[[#This Row],[Receive Date]]</f>
        <v>0</v>
      </c>
      <c r="P32" s="21">
        <f>TrackerTable8[[#This Row],[Receive Date]]-TrackerTable8[[#This Row],[Query Date]]</f>
        <v>0</v>
      </c>
      <c r="Q32" s="19"/>
      <c r="R32" s="19"/>
    </row>
    <row r="33" spans="1:18">
      <c r="A33" s="20">
        <f t="shared" si="0"/>
        <v>31</v>
      </c>
      <c r="B33" s="20"/>
      <c r="C33" s="20"/>
      <c r="D33" s="20"/>
      <c r="E33" s="20"/>
      <c r="F33" s="20"/>
      <c r="G33" s="19"/>
      <c r="H33" s="19"/>
      <c r="I33" s="20"/>
      <c r="J33" s="20"/>
      <c r="K33" s="20"/>
      <c r="L33" s="19"/>
      <c r="M33" s="19"/>
      <c r="N33" s="21">
        <f>TrackerTable8[[#This Row],[Completion Date]]-TrackerTable8[[#This Row],[Query Date]]</f>
        <v>0</v>
      </c>
      <c r="O33" s="21">
        <f>TrackerTable8[[#This Row],[Completion Date]]-TrackerTable8[[#This Row],[Receive Date]]</f>
        <v>0</v>
      </c>
      <c r="P33" s="21">
        <f>TrackerTable8[[#This Row],[Receive Date]]-TrackerTable8[[#This Row],[Query Date]]</f>
        <v>0</v>
      </c>
      <c r="Q33" s="19"/>
      <c r="R33" s="19"/>
    </row>
    <row r="34" spans="1:18">
      <c r="A34" s="20">
        <f t="shared" si="0"/>
        <v>32</v>
      </c>
      <c r="B34" s="20"/>
      <c r="C34" s="20"/>
      <c r="D34" s="20"/>
      <c r="E34" s="20"/>
      <c r="F34" s="20"/>
      <c r="G34" s="19"/>
      <c r="H34" s="19"/>
      <c r="I34" s="20"/>
      <c r="J34" s="20"/>
      <c r="K34" s="20"/>
      <c r="L34" s="19"/>
      <c r="M34" s="19"/>
      <c r="N34" s="21">
        <f>TrackerTable8[[#This Row],[Completion Date]]-TrackerTable8[[#This Row],[Query Date]]</f>
        <v>0</v>
      </c>
      <c r="O34" s="21">
        <f>TrackerTable8[[#This Row],[Completion Date]]-TrackerTable8[[#This Row],[Receive Date]]</f>
        <v>0</v>
      </c>
      <c r="P34" s="21">
        <f>TrackerTable8[[#This Row],[Receive Date]]-TrackerTable8[[#This Row],[Query Date]]</f>
        <v>0</v>
      </c>
      <c r="Q34" s="19"/>
      <c r="R34" s="19"/>
    </row>
    <row r="35" spans="1:18">
      <c r="A35" s="20">
        <f t="shared" si="0"/>
        <v>33</v>
      </c>
      <c r="B35" s="20"/>
      <c r="C35" s="20"/>
      <c r="D35" s="20"/>
      <c r="E35" s="20"/>
      <c r="F35" s="20"/>
      <c r="G35" s="19"/>
      <c r="H35" s="19"/>
      <c r="I35" s="20"/>
      <c r="J35" s="20"/>
      <c r="K35" s="20"/>
      <c r="L35" s="19"/>
      <c r="M35" s="19"/>
      <c r="N35" s="21">
        <f>TrackerTable8[[#This Row],[Completion Date]]-TrackerTable8[[#This Row],[Query Date]]</f>
        <v>0</v>
      </c>
      <c r="O35" s="21">
        <f>TrackerTable8[[#This Row],[Completion Date]]-TrackerTable8[[#This Row],[Receive Date]]</f>
        <v>0</v>
      </c>
      <c r="P35" s="21">
        <f>TrackerTable8[[#This Row],[Receive Date]]-TrackerTable8[[#This Row],[Query Date]]</f>
        <v>0</v>
      </c>
      <c r="Q35" s="19"/>
      <c r="R35" s="19"/>
    </row>
    <row r="36" spans="1:18" ht="43.5">
      <c r="A36" s="22" t="s">
        <v>385</v>
      </c>
      <c r="B36" s="23"/>
      <c r="C36" s="23"/>
      <c r="D36" s="23"/>
      <c r="E36" s="23"/>
      <c r="F36" s="23"/>
      <c r="G36" s="23"/>
      <c r="H36" s="23"/>
      <c r="I36" s="23"/>
      <c r="J36" s="23"/>
      <c r="K36" s="23"/>
      <c r="L36" s="23"/>
      <c r="M36" s="23"/>
      <c r="N36" s="23"/>
      <c r="O36" s="23"/>
      <c r="P36" s="23"/>
      <c r="Q36" s="23"/>
      <c r="R36" s="23"/>
    </row>
  </sheetData>
  <phoneticPr fontId="7" type="noConversion"/>
  <dataValidations count="5">
    <dataValidation type="list" allowBlank="1" showInputMessage="1" showErrorMessage="1" sqref="I3:I35">
      <formula1>Group</formula1>
    </dataValidation>
    <dataValidation type="list" allowBlank="1" showInputMessage="1" showErrorMessage="1" sqref="K3:K35">
      <formula1>Status</formula1>
    </dataValidation>
    <dataValidation type="list" allowBlank="1" showInputMessage="1" showErrorMessage="1" sqref="D3:D35">
      <formula1>Channel</formula1>
    </dataValidation>
    <dataValidation type="list" allowBlank="1" showInputMessage="1" showErrorMessage="1" sqref="J3:J35">
      <formula1>Assignee</formula1>
    </dataValidation>
    <dataValidation type="list" allowBlank="1" showInputMessage="1" showErrorMessage="1" sqref="F3:F35">
      <formula1>Category</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9E1720F4-BADD-4444-BE01-CAF55DDF5224}">
            <xm:f>NOT(ISERROR(SEARCH(List!$E$2,K1)))</xm:f>
            <xm:f>List!$E$2</xm:f>
            <x14:dxf>
              <font>
                <strike val="0"/>
                <color auto="1"/>
              </font>
              <fill>
                <patternFill>
                  <bgColor theme="3" tint="0.89996032593768116"/>
                </patternFill>
              </fill>
            </x14:dxf>
          </x14:cfRule>
          <x14:cfRule type="containsText" priority="2" operator="containsText" id="{D10AF6CA-32A0-456C-990E-41E2C9C7C903}">
            <xm:f>NOT(ISERROR(SEARCH(List!$E$3,K1)))</xm:f>
            <xm:f>List!$E$3</xm:f>
            <x14:dxf>
              <font>
                <strike val="0"/>
                <color auto="1"/>
              </font>
              <fill>
                <patternFill>
                  <bgColor theme="3" tint="0.89996032593768116"/>
                </patternFill>
              </fill>
            </x14:dxf>
          </x14:cfRule>
          <x14:cfRule type="containsText" priority="3" operator="containsText" id="{1FAE9F5C-07DD-42EC-B623-D9764ACDBD32}">
            <xm:f>NOT(ISERROR(SEARCH(List!$E$4,K1)))</xm:f>
            <xm:f>List!$E$4</xm:f>
            <x14:dxf>
              <font>
                <strike val="0"/>
                <color auto="1"/>
              </font>
              <fill>
                <patternFill>
                  <bgColor theme="3" tint="0.89996032593768116"/>
                </patternFill>
              </fill>
            </x14:dxf>
          </x14:cfRule>
          <x14:cfRule type="containsText" priority="4" operator="containsText" id="{B0CA0BFF-D491-4E9A-AEB9-2314F9FBE5D2}">
            <xm:f>NOT(ISERROR(SEARCH(List!$E$5,K1)))</xm:f>
            <xm:f>List!$E$5</xm:f>
            <x14:dxf>
              <font>
                <strike val="0"/>
                <color auto="1"/>
              </font>
              <fill>
                <patternFill>
                  <bgColor theme="5" tint="0.79998168889431442"/>
                </patternFill>
              </fill>
            </x14:dxf>
          </x14:cfRule>
          <x14:cfRule type="containsText" priority="5" operator="containsText" id="{7528B06B-B422-4F59-B9E7-25513EA69B45}">
            <xm:f>NOT(ISERROR(SEARCH(List!$E$6,K1)))</xm:f>
            <xm:f>List!$E$6</xm:f>
            <x14:dxf>
              <font>
                <strike val="0"/>
                <color auto="1"/>
              </font>
              <fill>
                <patternFill>
                  <bgColor theme="5" tint="0.79998168889431442"/>
                </patternFill>
              </fill>
            </x14:dxf>
          </x14:cfRule>
          <x14:cfRule type="containsText" priority="6" operator="containsText" id="{21E201D3-6C44-4CE5-9E41-E597AFEE91AA}">
            <xm:f>NOT(ISERROR(SEARCH(List!$E$7,K1)))</xm:f>
            <xm:f>List!$E$7</xm:f>
            <x14:dxf>
              <font>
                <strike val="0"/>
                <color auto="1"/>
              </font>
              <fill>
                <patternFill>
                  <bgColor theme="5" tint="0.79998168889431442"/>
                </patternFill>
              </fill>
            </x14:dxf>
          </x14:cfRule>
          <x14:cfRule type="containsText" priority="7" operator="containsText" id="{8B48A40F-6BAF-4841-B4A9-8C404320EF10}">
            <xm:f>NOT(ISERROR(SEARCH(List!$E$8,K1)))</xm:f>
            <xm:f>List!$E$8</xm:f>
            <x14:dxf>
              <font>
                <strike val="0"/>
                <color auto="1"/>
              </font>
              <fill>
                <patternFill>
                  <bgColor theme="5" tint="0.79998168889431442"/>
                </patternFill>
              </fill>
            </x14:dxf>
          </x14:cfRule>
          <x14:cfRule type="containsText" priority="8" operator="containsText" id="{61D04A93-0752-4270-8651-1434B87F4468}">
            <xm:f>NOT(ISERROR(SEARCH(List!$E$9,K1)))</xm:f>
            <xm:f>List!$E$9</xm:f>
            <x14:dxf>
              <font>
                <strike val="0"/>
                <color auto="1"/>
              </font>
              <fill>
                <patternFill>
                  <bgColor theme="5" tint="0.79998168889431442"/>
                </patternFill>
              </fill>
            </x14:dxf>
          </x14:cfRule>
          <x14:cfRule type="containsText" priority="9" operator="containsText" id="{A6E67164-C383-43C3-A99C-9477F35AA77F}">
            <xm:f>NOT(ISERROR(SEARCH(List!$E$10,K1)))</xm:f>
            <xm:f>List!$E$10</xm:f>
            <x14:dxf>
              <font>
                <strike val="0"/>
                <color auto="1"/>
              </font>
              <fill>
                <patternFill>
                  <bgColor theme="6" tint="0.79998168889431442"/>
                </patternFill>
              </fill>
            </x14:dxf>
          </x14:cfRule>
          <x14:cfRule type="containsText" priority="10" operator="containsText" id="{423C7DE2-B98E-4455-97AE-945C79C9D031}">
            <xm:f>NOT(ISERROR(SEARCH(List!$E$11,K1)))</xm:f>
            <xm:f>List!$E$11</xm:f>
            <x14:dxf>
              <font>
                <strike val="0"/>
                <color auto="1"/>
              </font>
              <fill>
                <patternFill>
                  <bgColor theme="6" tint="0.79998168889431442"/>
                </patternFill>
              </fill>
            </x14:dxf>
          </x14:cfRule>
          <x14:cfRule type="containsText" priority="11" operator="containsText" id="{6F98461E-6B38-4FF3-A185-29974E723C1B}">
            <xm:f>NOT(ISERROR(SEARCH(List!$E$12,K1)))</xm:f>
            <xm:f>List!$E$12</xm:f>
            <x14:dxf>
              <font>
                <strike val="0"/>
                <color auto="1"/>
              </font>
              <fill>
                <patternFill>
                  <bgColor theme="6" tint="0.79998168889431442"/>
                </patternFill>
              </fill>
            </x14:dxf>
          </x14:cfRule>
          <x14:cfRule type="containsText" priority="12" operator="containsText" id="{6EBE081E-1FC1-4BA6-8948-C97AABBCA87A}">
            <xm:f>NOT(ISERROR(SEARCH(List!$E$13,K1)))</xm:f>
            <xm:f>List!$E$13</xm:f>
            <x14:dxf>
              <font>
                <strike val="0"/>
                <color auto="1"/>
              </font>
              <fill>
                <patternFill>
                  <bgColor theme="6" tint="0.79998168889431442"/>
                </patternFill>
              </fill>
            </x14:dxf>
          </x14:cfRule>
          <xm:sqref>K1:K1048576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D15"/>
  <sheetViews>
    <sheetView workbookViewId="0">
      <selection activeCell="B2" sqref="B2"/>
    </sheetView>
  </sheetViews>
  <sheetFormatPr defaultRowHeight="14"/>
  <cols>
    <col min="1" max="1" width="90.25" bestFit="1" customWidth="1"/>
    <col min="2" max="2" width="37.1640625" customWidth="1"/>
    <col min="3" max="3" width="66.83203125" bestFit="1" customWidth="1"/>
  </cols>
  <sheetData>
    <row r="1" spans="1:4" ht="37">
      <c r="A1" s="59" t="s">
        <v>426</v>
      </c>
      <c r="C1" s="58" t="s">
        <v>427</v>
      </c>
      <c r="D1" t="s">
        <v>428</v>
      </c>
    </row>
    <row r="2" spans="1:4">
      <c r="A2" s="57"/>
    </row>
    <row r="15" spans="1:4" ht="37">
      <c r="A15" s="56" t="s">
        <v>429</v>
      </c>
      <c r="B15" s="5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sheetPr>
  <dimension ref="A1:O22"/>
  <sheetViews>
    <sheetView topLeftCell="A13" workbookViewId="0">
      <selection activeCell="A21" sqref="A21:I22"/>
    </sheetView>
  </sheetViews>
  <sheetFormatPr defaultRowHeight="15.5"/>
  <cols>
    <col min="2" max="2" width="22" style="29" customWidth="1"/>
    <col min="3" max="3" width="35.4140625" style="29" customWidth="1"/>
    <col min="4" max="4" width="27.1640625" style="29" customWidth="1"/>
    <col min="5" max="5" width="34.58203125" style="32" customWidth="1"/>
    <col min="6" max="6" width="37.1640625" style="29" customWidth="1"/>
    <col min="7" max="7" width="105.58203125" style="29" customWidth="1"/>
    <col min="8" max="8" width="32.58203125" style="29" customWidth="1"/>
    <col min="9" max="9" width="50.1640625" style="29" customWidth="1"/>
    <col min="10" max="10" width="42.58203125" bestFit="1" customWidth="1"/>
    <col min="11" max="11" width="22.25" customWidth="1"/>
    <col min="12" max="12" width="65.58203125" customWidth="1"/>
    <col min="13" max="13" width="42.58203125" customWidth="1"/>
    <col min="14" max="14" width="40.58203125" customWidth="1"/>
    <col min="15" max="15" width="17.83203125" hidden="1" customWidth="1"/>
  </cols>
  <sheetData>
    <row r="1" spans="1:15" ht="45" customHeight="1" thickBot="1">
      <c r="A1" s="54" t="s">
        <v>386</v>
      </c>
      <c r="B1" s="53" t="s">
        <v>430</v>
      </c>
      <c r="C1" s="53" t="s">
        <v>431</v>
      </c>
      <c r="D1" s="53" t="s">
        <v>432</v>
      </c>
      <c r="E1" s="53" t="s">
        <v>433</v>
      </c>
      <c r="F1" s="53" t="s">
        <v>434</v>
      </c>
      <c r="G1" s="53" t="s">
        <v>435</v>
      </c>
      <c r="H1" s="53" t="s">
        <v>436</v>
      </c>
      <c r="I1" s="52" t="s">
        <v>437</v>
      </c>
      <c r="J1" s="51" t="s">
        <v>438</v>
      </c>
      <c r="K1" s="63" t="s">
        <v>439</v>
      </c>
      <c r="L1" s="63" t="s">
        <v>440</v>
      </c>
      <c r="M1" s="53" t="s">
        <v>441</v>
      </c>
    </row>
    <row r="2" spans="1:15" ht="409.6" thickBot="1">
      <c r="A2" s="37">
        <v>1</v>
      </c>
      <c r="B2" s="62" t="s">
        <v>442</v>
      </c>
      <c r="C2" s="33" t="s">
        <v>443</v>
      </c>
      <c r="D2" s="33" t="s">
        <v>443</v>
      </c>
      <c r="E2" s="33" t="s">
        <v>443</v>
      </c>
      <c r="F2" s="33" t="s">
        <v>444</v>
      </c>
      <c r="G2" s="33" t="s">
        <v>445</v>
      </c>
      <c r="H2" s="33" t="s">
        <v>446</v>
      </c>
      <c r="I2" s="34"/>
      <c r="J2" s="33" t="s">
        <v>447</v>
      </c>
      <c r="K2" s="68">
        <v>46083</v>
      </c>
      <c r="L2" s="33" t="s">
        <v>448</v>
      </c>
      <c r="M2" s="69">
        <v>46082</v>
      </c>
      <c r="O2" t="s">
        <v>123</v>
      </c>
    </row>
    <row r="3" spans="1:15" ht="79.5" customHeight="1" thickBot="1">
      <c r="A3" s="37">
        <v>2</v>
      </c>
      <c r="B3" s="68">
        <v>46083</v>
      </c>
      <c r="C3" s="33" t="s">
        <v>443</v>
      </c>
      <c r="D3" s="33" t="s">
        <v>443</v>
      </c>
      <c r="E3" s="33" t="s">
        <v>443</v>
      </c>
      <c r="F3" s="33" t="s">
        <v>277</v>
      </c>
      <c r="G3" s="33" t="s">
        <v>449</v>
      </c>
      <c r="H3" s="33" t="s">
        <v>446</v>
      </c>
      <c r="I3" s="34"/>
      <c r="J3" s="33" t="s">
        <v>447</v>
      </c>
      <c r="K3" s="68">
        <v>46083</v>
      </c>
      <c r="L3" s="33" t="s">
        <v>450</v>
      </c>
      <c r="M3" s="69">
        <v>46082</v>
      </c>
      <c r="O3" t="s">
        <v>451</v>
      </c>
    </row>
    <row r="4" spans="1:15" ht="45" customHeight="1" thickBot="1">
      <c r="A4" s="37">
        <v>3</v>
      </c>
      <c r="B4" s="68">
        <v>46090</v>
      </c>
      <c r="C4" s="33" t="s">
        <v>452</v>
      </c>
      <c r="D4" s="33" t="s">
        <v>453</v>
      </c>
      <c r="E4" s="35" t="s">
        <v>454</v>
      </c>
      <c r="F4" s="33" t="s">
        <v>444</v>
      </c>
      <c r="G4" s="33" t="s">
        <v>455</v>
      </c>
      <c r="H4" s="33" t="s">
        <v>456</v>
      </c>
      <c r="I4" s="34"/>
      <c r="J4" s="33" t="s">
        <v>447</v>
      </c>
      <c r="K4" s="68">
        <v>46100</v>
      </c>
      <c r="L4" s="33" t="s">
        <v>457</v>
      </c>
      <c r="M4" s="69">
        <v>46082</v>
      </c>
      <c r="O4" t="s">
        <v>447</v>
      </c>
    </row>
    <row r="5" spans="1:15" ht="45" customHeight="1" thickBot="1">
      <c r="A5" s="37">
        <v>4</v>
      </c>
      <c r="B5" s="68">
        <v>46105</v>
      </c>
      <c r="C5" s="33" t="s">
        <v>443</v>
      </c>
      <c r="D5" s="33" t="s">
        <v>443</v>
      </c>
      <c r="E5" s="33" t="s">
        <v>443</v>
      </c>
      <c r="F5" s="33" t="s">
        <v>458</v>
      </c>
      <c r="G5" s="33" t="s">
        <v>459</v>
      </c>
      <c r="H5" s="33" t="s">
        <v>446</v>
      </c>
      <c r="I5" s="34"/>
      <c r="J5" s="33" t="s">
        <v>447</v>
      </c>
      <c r="K5" s="68">
        <v>46106</v>
      </c>
      <c r="L5" s="33" t="s">
        <v>460</v>
      </c>
      <c r="M5" s="69">
        <v>46082</v>
      </c>
    </row>
    <row r="6" spans="1:15" ht="45" customHeight="1" thickBot="1">
      <c r="A6" s="37">
        <v>5</v>
      </c>
      <c r="B6" s="68">
        <v>46111</v>
      </c>
      <c r="C6" s="33" t="s">
        <v>443</v>
      </c>
      <c r="D6" s="33" t="s">
        <v>443</v>
      </c>
      <c r="E6" s="33" t="s">
        <v>443</v>
      </c>
      <c r="F6" s="33" t="s">
        <v>461</v>
      </c>
      <c r="G6" s="33" t="s">
        <v>462</v>
      </c>
      <c r="H6" s="33" t="s">
        <v>446</v>
      </c>
      <c r="I6" s="34"/>
      <c r="J6" s="33" t="s">
        <v>447</v>
      </c>
      <c r="K6" s="68">
        <v>46111</v>
      </c>
      <c r="L6" s="33" t="s">
        <v>463</v>
      </c>
      <c r="M6" s="69">
        <v>46082</v>
      </c>
    </row>
    <row r="7" spans="1:15" ht="45" customHeight="1" thickBot="1">
      <c r="A7" s="37">
        <v>6</v>
      </c>
      <c r="B7" s="62" t="s">
        <v>464</v>
      </c>
      <c r="C7" s="33" t="s">
        <v>443</v>
      </c>
      <c r="D7" s="33" t="s">
        <v>443</v>
      </c>
      <c r="E7" s="33" t="s">
        <v>443</v>
      </c>
      <c r="F7" s="33" t="s">
        <v>444</v>
      </c>
      <c r="G7" s="33" t="s">
        <v>465</v>
      </c>
      <c r="H7" s="33" t="s">
        <v>446</v>
      </c>
      <c r="I7" s="34"/>
      <c r="J7" s="33" t="s">
        <v>447</v>
      </c>
      <c r="K7" s="68">
        <v>46125</v>
      </c>
      <c r="L7" s="33" t="s">
        <v>466</v>
      </c>
      <c r="M7" s="69">
        <v>46113</v>
      </c>
    </row>
    <row r="8" spans="1:15" ht="45" customHeight="1" thickBot="1">
      <c r="A8" s="37">
        <v>7</v>
      </c>
      <c r="B8" s="62" t="s">
        <v>467</v>
      </c>
      <c r="C8" s="33" t="s">
        <v>468</v>
      </c>
      <c r="D8" s="33" t="s">
        <v>469</v>
      </c>
      <c r="E8" s="35" t="s">
        <v>470</v>
      </c>
      <c r="F8" s="33" t="s">
        <v>458</v>
      </c>
      <c r="G8" s="33" t="s">
        <v>471</v>
      </c>
      <c r="H8" s="33" t="s">
        <v>456</v>
      </c>
      <c r="I8" s="49" t="s">
        <v>472</v>
      </c>
      <c r="J8" s="33" t="s">
        <v>447</v>
      </c>
      <c r="K8" s="68">
        <v>46157</v>
      </c>
      <c r="L8" s="33" t="s">
        <v>473</v>
      </c>
      <c r="M8" s="69">
        <v>46143</v>
      </c>
    </row>
    <row r="9" spans="1:15" ht="45" customHeight="1" thickBot="1">
      <c r="A9" s="37">
        <v>8</v>
      </c>
      <c r="B9" s="62" t="s">
        <v>474</v>
      </c>
      <c r="C9" s="33" t="s">
        <v>443</v>
      </c>
      <c r="D9" s="33" t="s">
        <v>443</v>
      </c>
      <c r="E9" s="33" t="s">
        <v>443</v>
      </c>
      <c r="F9" s="33" t="s">
        <v>475</v>
      </c>
      <c r="G9" s="33" t="s">
        <v>476</v>
      </c>
      <c r="H9" s="33" t="s">
        <v>446</v>
      </c>
      <c r="I9" s="34"/>
      <c r="J9" s="33" t="s">
        <v>123</v>
      </c>
      <c r="K9" s="33"/>
      <c r="L9" s="33"/>
      <c r="M9" s="69">
        <v>46143</v>
      </c>
    </row>
    <row r="10" spans="1:15" ht="62.5" thickBot="1">
      <c r="A10" s="37">
        <v>9</v>
      </c>
      <c r="B10" s="44" t="s">
        <v>477</v>
      </c>
      <c r="C10" s="33" t="s">
        <v>478</v>
      </c>
      <c r="D10" s="33" t="s">
        <v>479</v>
      </c>
      <c r="E10" s="50" t="s">
        <v>480</v>
      </c>
      <c r="F10" s="46" t="s">
        <v>481</v>
      </c>
      <c r="G10" s="33" t="s">
        <v>482</v>
      </c>
      <c r="H10" s="33" t="s">
        <v>483</v>
      </c>
      <c r="I10" s="49" t="s">
        <v>484</v>
      </c>
      <c r="J10" s="64" t="s">
        <v>123</v>
      </c>
      <c r="K10" s="60"/>
      <c r="L10" s="61"/>
      <c r="M10" s="48"/>
    </row>
    <row r="11" spans="1:15" ht="124.5" thickBot="1">
      <c r="A11" s="37">
        <v>10</v>
      </c>
      <c r="B11" s="47" t="s">
        <v>485</v>
      </c>
      <c r="C11" s="33" t="s">
        <v>486</v>
      </c>
      <c r="D11" s="33" t="s">
        <v>487</v>
      </c>
      <c r="E11" s="35" t="s">
        <v>488</v>
      </c>
      <c r="F11" s="46" t="s">
        <v>489</v>
      </c>
      <c r="G11" s="33" t="s">
        <v>490</v>
      </c>
      <c r="H11" s="33" t="s">
        <v>491</v>
      </c>
      <c r="I11" s="43" t="s">
        <v>492</v>
      </c>
      <c r="J11" s="64" t="s">
        <v>123</v>
      </c>
      <c r="K11" s="33"/>
      <c r="L11" s="61"/>
      <c r="M11" s="33"/>
    </row>
    <row r="12" spans="1:15" ht="408.65" customHeight="1" thickBot="1">
      <c r="A12" s="37">
        <v>11</v>
      </c>
      <c r="B12" s="44" t="s">
        <v>474</v>
      </c>
      <c r="C12" s="33" t="s">
        <v>493</v>
      </c>
      <c r="D12" s="33" t="s">
        <v>494</v>
      </c>
      <c r="E12" s="35" t="s">
        <v>495</v>
      </c>
      <c r="F12" s="45" t="s">
        <v>496</v>
      </c>
      <c r="G12" s="33" t="s">
        <v>497</v>
      </c>
      <c r="H12" s="33" t="s">
        <v>498</v>
      </c>
      <c r="I12" s="43" t="s">
        <v>484</v>
      </c>
      <c r="J12" s="64" t="s">
        <v>123</v>
      </c>
      <c r="K12" s="33"/>
      <c r="L12" s="61"/>
      <c r="M12" s="33"/>
    </row>
    <row r="13" spans="1:15" ht="62.5" thickBot="1">
      <c r="A13" s="37">
        <v>12</v>
      </c>
      <c r="B13" s="44" t="s">
        <v>499</v>
      </c>
      <c r="C13" s="33" t="s">
        <v>500</v>
      </c>
      <c r="D13" s="33" t="s">
        <v>501</v>
      </c>
      <c r="E13" s="35" t="s">
        <v>502</v>
      </c>
      <c r="F13" s="33" t="s">
        <v>503</v>
      </c>
      <c r="G13" s="33" t="s">
        <v>504</v>
      </c>
      <c r="H13" s="33" t="s">
        <v>498</v>
      </c>
      <c r="I13" s="43" t="s">
        <v>484</v>
      </c>
      <c r="J13" s="64" t="s">
        <v>123</v>
      </c>
      <c r="K13" s="33"/>
      <c r="L13" s="61"/>
      <c r="M13" s="33"/>
    </row>
    <row r="14" spans="1:15" ht="93.5" thickBot="1">
      <c r="A14" s="37">
        <v>13</v>
      </c>
      <c r="B14" s="44" t="s">
        <v>505</v>
      </c>
      <c r="C14" s="33" t="s">
        <v>506</v>
      </c>
      <c r="D14" s="33" t="s">
        <v>507</v>
      </c>
      <c r="E14" s="35" t="s">
        <v>508</v>
      </c>
      <c r="F14" s="33" t="s">
        <v>509</v>
      </c>
      <c r="G14" s="33" t="s">
        <v>510</v>
      </c>
      <c r="H14" s="33" t="s">
        <v>511</v>
      </c>
      <c r="I14" s="43" t="s">
        <v>512</v>
      </c>
      <c r="J14" s="64" t="s">
        <v>447</v>
      </c>
      <c r="K14" s="33"/>
      <c r="L14" s="61"/>
      <c r="M14" s="33"/>
    </row>
    <row r="15" spans="1:15" ht="163.5" customHeight="1" thickBot="1">
      <c r="A15" s="37">
        <v>14</v>
      </c>
      <c r="B15" s="36" t="s">
        <v>513</v>
      </c>
      <c r="C15" s="33" t="s">
        <v>514</v>
      </c>
      <c r="D15" s="33" t="s">
        <v>515</v>
      </c>
      <c r="E15" s="35" t="s">
        <v>516</v>
      </c>
      <c r="F15" s="33" t="s">
        <v>503</v>
      </c>
      <c r="G15" s="33" t="s">
        <v>517</v>
      </c>
      <c r="H15" s="33" t="s">
        <v>511</v>
      </c>
      <c r="I15" s="34" t="s">
        <v>518</v>
      </c>
      <c r="J15" s="64" t="s">
        <v>123</v>
      </c>
      <c r="K15" s="33"/>
      <c r="L15" s="61"/>
      <c r="M15" s="33"/>
    </row>
    <row r="16" spans="1:15" ht="264" thickBot="1">
      <c r="A16" s="37">
        <v>15</v>
      </c>
      <c r="B16" s="36" t="s">
        <v>519</v>
      </c>
      <c r="C16" s="33" t="s">
        <v>520</v>
      </c>
      <c r="D16" s="33" t="s">
        <v>521</v>
      </c>
      <c r="E16" s="35" t="s">
        <v>522</v>
      </c>
      <c r="F16" s="33" t="s">
        <v>523</v>
      </c>
      <c r="G16" s="33" t="s">
        <v>524</v>
      </c>
      <c r="H16" s="33" t="s">
        <v>456</v>
      </c>
      <c r="I16" s="34" t="s">
        <v>525</v>
      </c>
      <c r="J16" s="65" t="s">
        <v>451</v>
      </c>
      <c r="K16" s="33"/>
      <c r="L16" s="33"/>
      <c r="M16" s="33"/>
    </row>
    <row r="17" spans="1:13" ht="62.5" thickBot="1">
      <c r="A17" s="37">
        <v>16</v>
      </c>
      <c r="B17" s="36" t="s">
        <v>519</v>
      </c>
      <c r="C17" s="33" t="s">
        <v>526</v>
      </c>
      <c r="D17" s="33" t="s">
        <v>527</v>
      </c>
      <c r="E17" s="35" t="s">
        <v>528</v>
      </c>
      <c r="F17" s="33" t="s">
        <v>458</v>
      </c>
      <c r="G17" s="33" t="s">
        <v>529</v>
      </c>
      <c r="H17" s="39" t="s">
        <v>530</v>
      </c>
      <c r="I17" s="34" t="s">
        <v>531</v>
      </c>
      <c r="J17" s="65" t="s">
        <v>451</v>
      </c>
      <c r="K17" s="33"/>
      <c r="L17" s="33"/>
      <c r="M17" s="69">
        <v>46174</v>
      </c>
    </row>
    <row r="18" spans="1:13" ht="47" thickBot="1">
      <c r="A18" s="67">
        <v>17</v>
      </c>
      <c r="B18" s="42" t="s">
        <v>519</v>
      </c>
      <c r="C18" s="39" t="s">
        <v>532</v>
      </c>
      <c r="D18" s="39" t="s">
        <v>533</v>
      </c>
      <c r="E18" s="41" t="s">
        <v>534</v>
      </c>
      <c r="F18" s="39" t="s">
        <v>535</v>
      </c>
      <c r="G18" s="39" t="s">
        <v>536</v>
      </c>
      <c r="H18" s="39" t="s">
        <v>530</v>
      </c>
      <c r="I18" s="40" t="s">
        <v>537</v>
      </c>
      <c r="J18" s="66" t="s">
        <v>451</v>
      </c>
      <c r="K18" s="39"/>
      <c r="L18" s="39"/>
      <c r="M18" s="69">
        <v>46174</v>
      </c>
    </row>
    <row r="19" spans="1:13" ht="372.5" thickBot="1">
      <c r="A19" s="37">
        <v>18</v>
      </c>
      <c r="B19" s="36" t="s">
        <v>519</v>
      </c>
      <c r="C19" s="33" t="s">
        <v>538</v>
      </c>
      <c r="D19" s="33" t="s">
        <v>539</v>
      </c>
      <c r="E19" s="35" t="s">
        <v>540</v>
      </c>
      <c r="F19" s="33" t="s">
        <v>541</v>
      </c>
      <c r="G19" s="33" t="s">
        <v>542</v>
      </c>
      <c r="H19" s="33" t="s">
        <v>483</v>
      </c>
      <c r="I19" s="38" t="s">
        <v>543</v>
      </c>
      <c r="J19" s="65" t="s">
        <v>451</v>
      </c>
      <c r="K19" s="33"/>
      <c r="L19" s="33"/>
      <c r="M19" s="33"/>
    </row>
    <row r="20" spans="1:13" ht="124.5" thickBot="1">
      <c r="A20" s="67">
        <v>19</v>
      </c>
      <c r="B20" s="36" t="s">
        <v>544</v>
      </c>
      <c r="C20" s="33" t="s">
        <v>545</v>
      </c>
      <c r="D20" s="33" t="s">
        <v>546</v>
      </c>
      <c r="E20" s="35" t="s">
        <v>547</v>
      </c>
      <c r="F20" s="33" t="s">
        <v>458</v>
      </c>
      <c r="G20" s="33" t="s">
        <v>548</v>
      </c>
      <c r="H20" s="33" t="s">
        <v>456</v>
      </c>
      <c r="I20" s="34" t="s">
        <v>549</v>
      </c>
      <c r="J20" s="65" t="s">
        <v>451</v>
      </c>
      <c r="K20" s="39"/>
      <c r="L20" s="39"/>
      <c r="M20" s="39"/>
    </row>
    <row r="21" spans="1:13" ht="140" thickBot="1">
      <c r="A21" s="67">
        <v>20</v>
      </c>
      <c r="B21" s="42" t="s">
        <v>550</v>
      </c>
      <c r="C21" s="39" t="s">
        <v>551</v>
      </c>
      <c r="D21" s="39" t="s">
        <v>552</v>
      </c>
      <c r="E21" s="41" t="s">
        <v>553</v>
      </c>
      <c r="F21" s="39" t="s">
        <v>523</v>
      </c>
      <c r="G21" s="39" t="s">
        <v>554</v>
      </c>
      <c r="H21" s="39" t="s">
        <v>530</v>
      </c>
      <c r="I21" s="70" t="s">
        <v>555</v>
      </c>
      <c r="J21" s="66" t="s">
        <v>451</v>
      </c>
      <c r="K21" s="39"/>
      <c r="L21" s="39"/>
      <c r="M21" s="39"/>
    </row>
    <row r="22" spans="1:13" ht="93.5" thickBot="1">
      <c r="A22" s="67">
        <v>21</v>
      </c>
      <c r="B22" s="42" t="s">
        <v>556</v>
      </c>
      <c r="C22" s="39" t="s">
        <v>532</v>
      </c>
      <c r="D22" s="39" t="s">
        <v>533</v>
      </c>
      <c r="E22" s="41" t="s">
        <v>534</v>
      </c>
      <c r="F22" s="39" t="s">
        <v>535</v>
      </c>
      <c r="G22" s="39" t="s">
        <v>557</v>
      </c>
      <c r="H22" s="39" t="s">
        <v>530</v>
      </c>
      <c r="I22" s="70"/>
      <c r="J22" s="39"/>
      <c r="K22" s="39"/>
      <c r="L22" s="39"/>
      <c r="M22" s="39"/>
    </row>
  </sheetData>
  <conditionalFormatting sqref="J1:J1048576">
    <cfRule type="cellIs" dxfId="47" priority="1" operator="equal">
      <formula>$O$4</formula>
    </cfRule>
    <cfRule type="cellIs" dxfId="46" priority="2" operator="equal">
      <formula>$O$3</formula>
    </cfRule>
    <cfRule type="cellIs" dxfId="45" priority="3" operator="equal">
      <formula>$O$2</formula>
    </cfRule>
  </conditionalFormatting>
  <dataValidations disablePrompts="1" count="1">
    <dataValidation type="list" allowBlank="1" showInputMessage="1" showErrorMessage="1" sqref="J2:J22">
      <formula1>$O$2:$O$4</formula1>
    </dataValidation>
  </dataValidations>
  <hyperlinks>
    <hyperlink ref="E10" r:id="rId1"/>
    <hyperlink ref="E12" r:id="rId2"/>
    <hyperlink ref="E15" r:id="rId3"/>
    <hyperlink ref="E13" r:id="rId4"/>
    <hyperlink ref="E11" r:id="rId5"/>
    <hyperlink ref="E16" r:id="rId6"/>
    <hyperlink ref="E18" r:id="rId7"/>
    <hyperlink ref="E19" r:id="rId8"/>
    <hyperlink ref="E14" r:id="rId9"/>
    <hyperlink ref="E20" r:id="rId10"/>
    <hyperlink ref="E4" r:id="rId11"/>
    <hyperlink ref="E8" r:id="rId12"/>
    <hyperlink ref="E21" r:id="rId13"/>
    <hyperlink ref="E22" r:id="rId14"/>
  </hyperlinks>
  <pageMargins left="0.7" right="0.7" top="0.75" bottom="0.75" header="0.3" footer="0.3"/>
  <pageSetup orientation="portrait" r:id="rId15"/>
  <legacyDrawing r:id="rId16"/>
  <tableParts count="1">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03146D9863D84EB31CBEAE1245E744" ma:contentTypeVersion="6" ma:contentTypeDescription="Create a new document." ma:contentTypeScope="" ma:versionID="79cc0de2d4d64fedf4b0b82c0699c623">
  <xsd:schema xmlns:xsd="http://www.w3.org/2001/XMLSchema" xmlns:xs="http://www.w3.org/2001/XMLSchema" xmlns:p="http://schemas.microsoft.com/office/2006/metadata/properties" xmlns:ns2="65601f48-5c74-45f6-a173-3bd26fc813d8" xmlns:ns3="52c60309-292d-4b6c-a831-b4e509ed9ac5" targetNamespace="http://schemas.microsoft.com/office/2006/metadata/properties" ma:root="true" ma:fieldsID="a221f1c969b5fe2b2664e7d4cedd8f10" ns2:_="" ns3:_="">
    <xsd:import namespace="65601f48-5c74-45f6-a173-3bd26fc813d8"/>
    <xsd:import namespace="52c60309-292d-4b6c-a831-b4e509ed9ac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601f48-5c74-45f6-a173-3bd26fc81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c60309-292d-4b6c-a831-b4e509ed9ac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287E22-79B1-4D5A-9922-CFFC26097E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601f48-5c74-45f6-a173-3bd26fc813d8"/>
    <ds:schemaRef ds:uri="52c60309-292d-4b6c-a831-b4e509ed9a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D4C804-45D2-494E-8DBD-D3FBFAD728A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CD384CF-D4D9-4C6A-ACD4-D84E88E087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Tracker</vt:lpstr>
      <vt:lpstr>Responded</vt:lpstr>
      <vt:lpstr>Sheet1</vt:lpstr>
      <vt:lpstr>List</vt:lpstr>
      <vt:lpstr>KIV</vt:lpstr>
      <vt:lpstr>Read me</vt:lpstr>
      <vt:lpstr>Feedback</vt:lpstr>
      <vt:lpstr>_Hlk155627540</vt:lpstr>
      <vt:lpstr>KIV!Assignee</vt:lpstr>
      <vt:lpstr>Assignee</vt:lpstr>
      <vt:lpstr>KIV!Category</vt:lpstr>
      <vt:lpstr>Category</vt:lpstr>
      <vt:lpstr>KIV!Channel</vt:lpstr>
      <vt:lpstr>Channel</vt:lpstr>
      <vt:lpstr>KIV!Group</vt:lpstr>
      <vt:lpstr>Group</vt:lpstr>
      <vt:lpstr>KIV!Status</vt:lpstr>
      <vt:lpstr>Status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Jia Min Lee</cp:lastModifiedBy>
  <cp:revision/>
  <dcterms:created xsi:type="dcterms:W3CDTF">2025-10-31T09:54:36Z</dcterms:created>
  <dcterms:modified xsi:type="dcterms:W3CDTF">2026-07-31T06:52:48Z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0x010100BD03146D9863D84EB31CBEAE1245E744</vt:lpwstr>
  </property>
  <property fmtid="{D5CDD505-2E9C-101B-9397-08002B2CF9AE}" pid="3" name="MSIP_Label_54803508-8490-4252-b331-d9b72689e942_Enabled">
    <vt:lpwstr>true</vt:lpwstr>
  </property>
  <property fmtid="{D5CDD505-2E9C-101B-9397-08002B2CF9AE}" pid="4" name="MSIP_Label_54803508-8490-4252-b331-d9b72689e942_SetDate">
    <vt:lpwstr>2025-10-31T09:55:15Z</vt:lpwstr>
  </property>
  <property fmtid="{D5CDD505-2E9C-101B-9397-08002B2CF9AE}" pid="5" name="MSIP_Label_54803508-8490-4252-b331-d9b72689e942_Method">
    <vt:lpwstr>Privileged</vt:lpwstr>
  </property>
  <property fmtid="{D5CDD505-2E9C-101B-9397-08002B2CF9AE}" pid="6" name="MSIP_Label_54803508-8490-4252-b331-d9b72689e942_Name">
    <vt:lpwstr>Non Sensitive_0</vt:lpwstr>
  </property>
  <property fmtid="{D5CDD505-2E9C-101B-9397-08002B2CF9AE}" pid="7" name="MSIP_Label_54803508-8490-4252-b331-d9b72689e942_SiteId">
    <vt:lpwstr>0b11c524-9a1c-4e1b-84cb-6336aefc2243</vt:lpwstr>
  </property>
  <property fmtid="{D5CDD505-2E9C-101B-9397-08002B2CF9AE}" pid="8" name="MSIP_Label_54803508-8490-4252-b331-d9b72689e942_ActionId">
    <vt:lpwstr>514eac7f-627a-4858-9d0a-b68decf192ab</vt:lpwstr>
  </property>
  <property fmtid="{D5CDD505-2E9C-101B-9397-08002B2CF9AE}" pid="9" name="MSIP_Label_54803508-8490-4252-b331-d9b72689e942_ContentBits">
    <vt:lpwstr>0</vt:lpwstr>
  </property>
  <property fmtid="{D5CDD505-2E9C-101B-9397-08002B2CF9AE}" pid="10" name="MSIP_Label_54803508-8490-4252-b331-d9b72689e942_Tag">
    <vt:lpwstr>10, 0, 1, 1</vt:lpwstr>
  </property>
  <property fmtid="{D5CDD505-2E9C-101B-9397-08002B2CF9AE}" pid="11" name="Order">
    <vt:r8>700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ies>
</file>